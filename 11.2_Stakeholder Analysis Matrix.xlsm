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448cdc3df2529c0/Desktop/WTAMU/02.Fall_2023/6390 Project Management/Assignments/"/>
    </mc:Choice>
  </mc:AlternateContent>
  <xr:revisionPtr revIDLastSave="3456" documentId="11_25CAE7AE741F60D5D6A6E480140A86DC7227EBA0" xr6:coauthVersionLast="47" xr6:coauthVersionMax="47" xr10:uidLastSave="{64197B0C-8831-4022-8F24-4B18852298A3}"/>
  <bookViews>
    <workbookView xWindow="23880" yWindow="-120" windowWidth="29040" windowHeight="15720" tabRatio="500" xr2:uid="{00000000-000D-0000-FFFF-FFFF00000000}"/>
  </bookViews>
  <sheets>
    <sheet name="Matrix" sheetId="1" r:id="rId1"/>
    <sheet name="Listas" sheetId="2" state="hidden" r:id="rId2"/>
  </sheets>
  <definedNames>
    <definedName name="_xlnm._FilterDatabase" localSheetId="0" hidden="1">Matrix!$B$33:$R$33</definedName>
    <definedName name="_xlnm.Print_Area" localSheetId="0">Matrix!$A$1:$R$83</definedName>
    <definedName name="_xlnm.Print_Titles" localSheetId="0">Matrix!$30:$32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5" i="1" l="1"/>
  <c r="Q21" i="1"/>
  <c r="Q22" i="1"/>
  <c r="Q24" i="1"/>
  <c r="Q23" i="1"/>
  <c r="S29" i="1"/>
  <c r="N30" i="1"/>
  <c r="R30" i="1"/>
  <c r="N133" i="1"/>
</calcChain>
</file>

<file path=xl/sharedStrings.xml><?xml version="1.0" encoding="utf-8"?>
<sst xmlns="http://schemas.openxmlformats.org/spreadsheetml/2006/main" count="235" uniqueCount="134">
  <si>
    <t>Níveis de poder e interesse</t>
  </si>
  <si>
    <t>Níveis de engajamento</t>
  </si>
  <si>
    <t>↑</t>
  </si>
  <si>
    <t>→</t>
  </si>
  <si>
    <t>STAKEHOLDERS ANALYSIS</t>
  </si>
  <si>
    <t>STAKEHOLDERS ANALYSIS - POWER X INTEREST MATRIX</t>
  </si>
  <si>
    <t>TOTAL STAKEHOLDERS:</t>
  </si>
  <si>
    <t>COMMUNICATIONS CHANNELS:</t>
  </si>
  <si>
    <t>INTEREST</t>
  </si>
  <si>
    <t>Stakeholder</t>
  </si>
  <si>
    <t>INFLUENCE/ POWER</t>
  </si>
  <si>
    <t>HIGH</t>
  </si>
  <si>
    <t>LOW</t>
  </si>
  <si>
    <t>Power</t>
  </si>
  <si>
    <t>Interest</t>
  </si>
  <si>
    <t>Expectations</t>
  </si>
  <si>
    <t>Engagement</t>
  </si>
  <si>
    <t>Meet their needs</t>
  </si>
  <si>
    <t>Key player</t>
  </si>
  <si>
    <t>Least important</t>
  </si>
  <si>
    <t>Show consideration</t>
  </si>
  <si>
    <t>Neutral</t>
  </si>
  <si>
    <t>Unaware</t>
  </si>
  <si>
    <t>Unaware–of project and potential impacts</t>
  </si>
  <si>
    <t>Resistant–aware of project and potential impacts and resistant to change</t>
  </si>
  <si>
    <t>Resistant</t>
  </si>
  <si>
    <t>Neither supportive nor resistant</t>
  </si>
  <si>
    <t>Supportive</t>
  </si>
  <si>
    <t>Leading–aware of project and potential impacts and actively engaged in ensuring the project a success</t>
  </si>
  <si>
    <t>Supportive of project and potential impacts and supportive to change</t>
  </si>
  <si>
    <t>ENGAGEMENT TYPES:</t>
  </si>
  <si>
    <t>Stakeholder analysis in project management, and business administration, is the process of identifying the individuals or groups that are likely to affect or be affected by a proposed action, and sorting them according to their impact on the action and the impact the action will have on them.</t>
  </si>
  <si>
    <t>Mixed actions</t>
  </si>
  <si>
    <t>Designers</t>
  </si>
  <si>
    <t>Administrators</t>
  </si>
  <si>
    <t>Contractor</t>
  </si>
  <si>
    <t>Military Liaison</t>
  </si>
  <si>
    <t>Photographer</t>
  </si>
  <si>
    <t>Logistician</t>
  </si>
  <si>
    <t>Knowledge Manager</t>
  </si>
  <si>
    <t>Pilot</t>
  </si>
  <si>
    <t>Electromagnetic Analyzer</t>
  </si>
  <si>
    <t>Writer</t>
  </si>
  <si>
    <t>Editor</t>
  </si>
  <si>
    <t>Project Manager</t>
  </si>
  <si>
    <t>Distinguished Visitors</t>
  </si>
  <si>
    <t>Vehicle Mechanic</t>
  </si>
  <si>
    <t>Railyard Workers</t>
  </si>
  <si>
    <t>ABCS Integration Specialist</t>
  </si>
  <si>
    <t>Legal</t>
  </si>
  <si>
    <t>Office Landlord</t>
  </si>
  <si>
    <t>Utility Companies</t>
  </si>
  <si>
    <t>Satellite Team</t>
  </si>
  <si>
    <t>GCSS-A Suppliers</t>
  </si>
  <si>
    <t>Materials Deliverer</t>
  </si>
  <si>
    <t>Bulk Fuel Deliverer</t>
  </si>
  <si>
    <t>Conference Hall Manager</t>
  </si>
  <si>
    <t>Conference Hall Staff</t>
  </si>
  <si>
    <t>COMSEC Custodian</t>
  </si>
  <si>
    <t>ABCS Systems Troubleshooting SME</t>
  </si>
  <si>
    <t>Environmental Compliance Officer</t>
  </si>
  <si>
    <t>Safety Regulation Compliance Officer</t>
  </si>
  <si>
    <t>Security Background Adjudicator</t>
  </si>
  <si>
    <t>LSCO Warfighting Researchers</t>
  </si>
  <si>
    <t>Communications and Electronics Shop Manager</t>
  </si>
  <si>
    <t>Communications and Electronics Shop Staff</t>
  </si>
  <si>
    <t>2IBCT/82D ABN DIV Command and Staff</t>
  </si>
  <si>
    <t>3IBCT/25TH IN DIV Command and Staff</t>
  </si>
  <si>
    <t>75TH RANGER REG Command and Staff</t>
  </si>
  <si>
    <t>2IBCT/101ST ABN DIV Command and Staff</t>
  </si>
  <si>
    <t>1IBCT/11TH ABN DIV Command and Staff</t>
  </si>
  <si>
    <t>1IBCT/82D ABN DIV Command and Staff</t>
  </si>
  <si>
    <t>7TH SF GROUP Command and Staff</t>
  </si>
  <si>
    <t>1IBCT/10TH MTN DIV Command and Staff</t>
  </si>
  <si>
    <t>JRTC Command and Staff</t>
  </si>
  <si>
    <t>FORSCOM Command and Staff</t>
  </si>
  <si>
    <t>Center for Army Lessons Learned</t>
  </si>
  <si>
    <t>TRADOC Command and Staff</t>
  </si>
  <si>
    <t>Army Times</t>
  </si>
  <si>
    <t>Secretary of the Army</t>
  </si>
  <si>
    <t>Joint Chiefs of Staff</t>
  </si>
  <si>
    <t>Secretary of Defense</t>
  </si>
  <si>
    <t>US Congress</t>
  </si>
  <si>
    <t>US Senate</t>
  </si>
  <si>
    <t>US President</t>
  </si>
  <si>
    <t>Congress Appropriations Committee</t>
  </si>
  <si>
    <t>Congress Armed Services Committee</t>
  </si>
  <si>
    <t>Congress Budget Committee</t>
  </si>
  <si>
    <t>Congress Veterans Affairs Committee</t>
  </si>
  <si>
    <t>Mission Command Center of Excellence</t>
  </si>
  <si>
    <t>Manuever Center of Excellence</t>
  </si>
  <si>
    <t>Cyber Center of Excellence</t>
  </si>
  <si>
    <t>Fires Center of Excellence</t>
  </si>
  <si>
    <t>Intelligence Center of Excellence</t>
  </si>
  <si>
    <t>Manuever Support Center of Excellence</t>
  </si>
  <si>
    <t>Medical Department Center of Excellence</t>
  </si>
  <si>
    <t>Sustainment Center of Excellence</t>
  </si>
  <si>
    <t>US Taxpayers</t>
  </si>
  <si>
    <t>Combined Arms Center</t>
  </si>
  <si>
    <t>Security Specialist</t>
  </si>
  <si>
    <t>Account Manager</t>
  </si>
  <si>
    <t>Practical Application Analyst</t>
  </si>
  <si>
    <t>Chief Information Officer</t>
  </si>
  <si>
    <t>Chief Operations Officer</t>
  </si>
  <si>
    <t>Chief Fires Officer</t>
  </si>
  <si>
    <t>Chief Intelligence Officer</t>
  </si>
  <si>
    <t>Contract Manager</t>
  </si>
  <si>
    <t>Support Specialist</t>
  </si>
  <si>
    <t>Supply Specialist</t>
  </si>
  <si>
    <t>Test Manager</t>
  </si>
  <si>
    <t>Technical Writer</t>
  </si>
  <si>
    <t>Steering Committee</t>
  </si>
  <si>
    <t>End Users</t>
  </si>
  <si>
    <t>Government Regulators</t>
  </si>
  <si>
    <t>DoD Vendors</t>
  </si>
  <si>
    <t>Main Stream Media</t>
  </si>
  <si>
    <t>Social Media</t>
  </si>
  <si>
    <t>Military Social Media Influencers</t>
  </si>
  <si>
    <t>Foreign Militariy Partners</t>
  </si>
  <si>
    <t>NATO</t>
  </si>
  <si>
    <t>Foreign Military Adversaries</t>
  </si>
  <si>
    <t>Foreign Main Stream Media</t>
  </si>
  <si>
    <t>Infantry Instructors</t>
  </si>
  <si>
    <t>Military Times</t>
  </si>
  <si>
    <t>Marine Corps</t>
  </si>
  <si>
    <t>Air Force</t>
  </si>
  <si>
    <t>Navy</t>
  </si>
  <si>
    <t>Space Force</t>
  </si>
  <si>
    <t>CIA</t>
  </si>
  <si>
    <t>Paramilitary Contracting Companies</t>
  </si>
  <si>
    <t>Federal Reserve</t>
  </si>
  <si>
    <t>Subject Matter Experts</t>
  </si>
  <si>
    <t>Large Scale Combat Operations Main Command Post</t>
  </si>
  <si>
    <t>Leading–Aware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</si>
</sst>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>
    <font>
      <sz val="12"/>
      <color theme="1"/>
      <name val="Fonte do Corpo"/>
      <family val="2"/>
    </font>
    <font>
      <sz val="11"/>
      <color theme="1"/>
      <name val="Calibri"/>
      <family val="2"/>
      <scheme val="minor"/>
    </font>
    <font>
      <sz val="12"/>
      <name val="Fonte do Corpo"/>
      <family val="2"/>
    </font>
    <font>
      <sz val="8"/>
      <name val="Fonte do Corpo"/>
      <family val="2"/>
    </font>
    <font>
      <b/>
      <sz val="12"/>
      <color theme="1"/>
      <name val="Fonte do Corpo"/>
      <family val="2"/>
    </font>
    <font>
      <sz val="12"/>
      <color theme="0"/>
      <name val="Fonte do Corpo"/>
      <family val="2"/>
    </font>
    <font>
      <b/>
      <sz val="20"/>
      <color theme="1" tint="0.499984740745262"/>
      <name val="Fonte do Corpo"/>
      <family val="2"/>
    </font>
    <font>
      <sz val="9"/>
      <color theme="0" tint="-0.14999847407452621"/>
      <name val="Fonte do Corpo"/>
      <family val="2"/>
    </font>
    <font>
      <sz val="10"/>
      <color theme="0" tint="-0.499984740745262"/>
      <name val="Fonte do Corpo"/>
      <family val="2"/>
    </font>
    <font>
      <sz val="11"/>
      <color theme="1"/>
      <name val="Fonte do Corpo"/>
      <family val="2"/>
    </font>
    <font>
      <b/>
      <sz val="12"/>
      <color theme="1" tint="0.249977111117893"/>
      <name val="Fonte do Corpo"/>
      <family val="2"/>
    </font>
    <font>
      <b/>
      <sz val="10"/>
      <color theme="1"/>
      <name val="Fonte do Corpo"/>
    </font>
    <font>
      <b/>
      <sz val="10"/>
      <color theme="1"/>
      <name val="Fonte do Corpo"/>
      <family val="2"/>
    </font>
    <font>
      <b/>
      <sz val="12"/>
      <color theme="1"/>
      <name val="Fonte do Corpo"/>
    </font>
    <font>
      <b/>
      <sz val="14"/>
      <color theme="0"/>
      <name val="Calibri"/>
      <family val="2"/>
      <scheme val="minor"/>
    </font>
    <font>
      <b/>
      <sz val="36"/>
      <color theme="1" tint="0.249977111117893"/>
      <name val="Calibri"/>
      <family val="2"/>
      <scheme val="minor"/>
    </font>
    <font>
      <sz val="11"/>
      <color rgb="FF000000"/>
      <name val="Gill Sans MT"/>
      <family val="2"/>
    </font>
    <font>
      <sz val="9"/>
      <name val="Fonte do Corpo"/>
      <family val="2"/>
    </font>
    <font>
      <b/>
      <sz val="12"/>
      <color theme="0"/>
      <name val="Fonte do Corpo"/>
    </font>
    <font>
      <sz val="11"/>
      <name val="Fonte do Corpo"/>
      <family val="2"/>
    </font>
    <font>
      <sz val="11"/>
      <color theme="1"/>
      <name val="Gill Sans MT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C45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4" fillId="2" borderId="0" xfId="0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9" borderId="0" xfId="0" applyFill="1"/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1" fontId="0" fillId="0" borderId="0" xfId="0" applyNumberFormat="1"/>
    <xf numFmtId="1" fontId="0" fillId="0" borderId="0" xfId="0" applyNumberFormat="1" applyAlignment="1">
      <alignment horizontal="right"/>
    </xf>
    <xf numFmtId="1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1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top"/>
    </xf>
    <xf numFmtId="1" fontId="0" fillId="9" borderId="0" xfId="0" applyNumberFormat="1" applyFill="1" applyAlignment="1">
      <alignment horizontal="center" vertical="center"/>
    </xf>
    <xf numFmtId="1" fontId="7" fillId="2" borderId="0" xfId="0" applyNumberFormat="1" applyFont="1" applyFill="1" applyAlignment="1">
      <alignment horizontal="center" vertical="top"/>
    </xf>
    <xf numFmtId="0" fontId="8" fillId="2" borderId="0" xfId="0" applyFont="1" applyFill="1" applyAlignment="1">
      <alignment horizontal="right" vertical="center"/>
    </xf>
    <xf numFmtId="0" fontId="8" fillId="2" borderId="0" xfId="0" applyFont="1" applyFill="1" applyAlignment="1">
      <alignment vertical="top"/>
    </xf>
    <xf numFmtId="0" fontId="8" fillId="2" borderId="0" xfId="0" applyFont="1" applyFill="1" applyAlignment="1">
      <alignment horizontal="right" vertical="top"/>
    </xf>
    <xf numFmtId="164" fontId="2" fillId="2" borderId="0" xfId="0" applyNumberFormat="1" applyFont="1" applyFill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5" fillId="7" borderId="0" xfId="0" applyNumberFormat="1" applyFon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/>
    </xf>
    <xf numFmtId="0" fontId="1" fillId="2" borderId="0" xfId="0" applyFont="1" applyFill="1"/>
    <xf numFmtId="0" fontId="11" fillId="2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/>
    </xf>
    <xf numFmtId="1" fontId="10" fillId="2" borderId="3" xfId="0" applyNumberFormat="1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top" wrapText="1"/>
    </xf>
    <xf numFmtId="0" fontId="10" fillId="2" borderId="3" xfId="0" applyFont="1" applyFill="1" applyBorder="1" applyAlignment="1">
      <alignment horizontal="left" wrapText="1"/>
    </xf>
    <xf numFmtId="0" fontId="13" fillId="8" borderId="0" xfId="0" applyFont="1" applyFill="1" applyAlignment="1">
      <alignment horizontal="center"/>
    </xf>
    <xf numFmtId="0" fontId="17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18" fillId="11" borderId="7" xfId="0" applyFont="1" applyFill="1" applyBorder="1"/>
    <xf numFmtId="164" fontId="18" fillId="11" borderId="7" xfId="0" applyNumberFormat="1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left" vertical="center"/>
    </xf>
    <xf numFmtId="1" fontId="19" fillId="8" borderId="7" xfId="0" applyNumberFormat="1" applyFont="1" applyFill="1" applyBorder="1" applyAlignment="1">
      <alignment horizontal="center" vertical="center"/>
    </xf>
    <xf numFmtId="1" fontId="19" fillId="2" borderId="7" xfId="0" applyNumberFormat="1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left"/>
    </xf>
    <xf numFmtId="0" fontId="18" fillId="11" borderId="7" xfId="0" applyFont="1" applyFill="1" applyBorder="1" applyAlignment="1">
      <alignment horizontal="left" vertical="center" indent="1"/>
    </xf>
    <xf numFmtId="0" fontId="9" fillId="8" borderId="8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20" fillId="8" borderId="8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5" xfId="0" applyFont="1" applyFill="1" applyBorder="1" applyAlignment="1">
      <alignment horizontal="left" vertical="center"/>
    </xf>
    <xf numFmtId="0" fontId="16" fillId="0" borderId="8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8" borderId="8" xfId="0" applyFont="1" applyFill="1" applyBorder="1" applyAlignment="1">
      <alignment horizontal="left" vertical="center" wrapText="1"/>
    </xf>
    <xf numFmtId="0" fontId="16" fillId="8" borderId="4" xfId="0" applyFont="1" applyFill="1" applyBorder="1" applyAlignment="1">
      <alignment horizontal="left" vertical="center" wrapText="1"/>
    </xf>
    <xf numFmtId="0" fontId="16" fillId="8" borderId="5" xfId="0" applyFont="1" applyFill="1" applyBorder="1" applyAlignment="1">
      <alignment horizontal="left" vertical="center" wrapText="1"/>
    </xf>
    <xf numFmtId="0" fontId="9" fillId="2" borderId="8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center" vertical="center" textRotation="90"/>
    </xf>
    <xf numFmtId="0" fontId="15" fillId="2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4" fillId="10" borderId="0" xfId="0" applyFont="1" applyFill="1" applyAlignment="1" applyProtection="1">
      <alignment horizontal="center" vertical="center"/>
      <protection locked="0"/>
    </xf>
    <xf numFmtId="0" fontId="14" fillId="10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>
      <alignment horizontal="center" vertical="center"/>
    </xf>
    <xf numFmtId="164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</dxf>
  </dxfs>
  <tableStyles count="0" defaultTableStyle="TableStyleMedium9" defaultPivotStyle="PivotStyleMedium7"/>
  <colors>
    <mruColors>
      <color rgb="FF9C4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310409739628638E-2"/>
          <c:y val="2.1256106565976322E-2"/>
          <c:w val="0.88574392552048697"/>
          <c:h val="0.92137020788533086"/>
        </c:manualLayout>
      </c:layout>
      <c:bubbleChart>
        <c:varyColors val="0"/>
        <c:ser>
          <c:idx val="0"/>
          <c:order val="0"/>
          <c:tx>
            <c:v>1</c:v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6569252442322647E-2"/>
                  <c:y val="4.53163069153392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11288EC-7DC8-4A1F-8088-5FE7547287E7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Matrix!$L$34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Matrix!$K$34</c:f>
              <c:numCache>
                <c:formatCode>0</c:formatCode>
                <c:ptCount val="1"/>
                <c:pt idx="0">
                  <c:v>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Matrix!$B$34</c15:f>
                <c15:dlblRangeCache>
                  <c:ptCount val="1"/>
                  <c:pt idx="0">
                    <c:v>Designers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765-4D9A-80E9-FA51C0AC5529}"/>
            </c:ext>
          </c:extLst>
        </c:ser>
        <c:ser>
          <c:idx val="1"/>
          <c:order val="1"/>
          <c:tx>
            <c:v>2</c:v>
          </c:tx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5470175863957294E-2"/>
                  <c:y val="3.058461328470072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35D6390-E09F-4831-812A-E87F0E794DDF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Matrix!$L$35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Matrix!$K$35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Matrix!$B$35</c15:f>
                <c15:dlblRangeCache>
                  <c:ptCount val="1"/>
                  <c:pt idx="0">
                    <c:v>Administrators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6765-4D9A-80E9-FA51C0AC5529}"/>
            </c:ext>
          </c:extLst>
        </c:ser>
        <c:ser>
          <c:idx val="2"/>
          <c:order val="2"/>
          <c:tx>
            <c:v>3</c:v>
          </c:tx>
          <c:spPr>
            <a:solidFill>
              <a:schemeClr val="accent3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6571969617797994E-2"/>
                  <c:y val="-0.1579410571494652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B176836-09EA-4123-B9F8-4017BC96B62D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Matrix!$L$36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Matrix!$K$36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Matrix!$B$36</c15:f>
                <c15:dlblRangeCache>
                  <c:ptCount val="1"/>
                  <c:pt idx="0">
                    <c:v>Contractor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765-4D9A-80E9-FA51C0AC5529}"/>
            </c:ext>
          </c:extLst>
        </c:ser>
        <c:ser>
          <c:idx val="3"/>
          <c:order val="3"/>
          <c:tx>
            <c:v>4</c:v>
          </c:tx>
          <c:spPr>
            <a:solidFill>
              <a:schemeClr val="accent4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0965851374681702E-2"/>
                  <c:y val="4.044785343529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E6343C6-EFF5-4789-8436-3E3F89CF2B9C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Matrix!$L$37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Matrix!$K$37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Matrix!$B$37</c15:f>
                <c15:dlblRangeCache>
                  <c:ptCount val="1"/>
                  <c:pt idx="0">
                    <c:v>Military Liaison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765-4D9A-80E9-FA51C0AC5529}"/>
            </c:ext>
          </c:extLst>
        </c:ser>
        <c:ser>
          <c:idx val="4"/>
          <c:order val="4"/>
          <c:tx>
            <c:v>5</c:v>
          </c:tx>
          <c:spPr>
            <a:solidFill>
              <a:schemeClr val="accent5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6000484911315575E-2"/>
                  <c:y val="7.139675522375610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69EFE9-2622-4178-B9AF-10F744AB60E9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Matrix!$L$38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Matrix!$K$38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Matrix!$B$38</c15:f>
                <c15:dlblRangeCache>
                  <c:ptCount val="1"/>
                  <c:pt idx="0">
                    <c:v>Photographer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6765-4D9A-80E9-FA51C0AC5529}"/>
            </c:ext>
          </c:extLst>
        </c:ser>
        <c:ser>
          <c:idx val="5"/>
          <c:order val="5"/>
          <c:tx>
            <c:v>6</c:v>
          </c:tx>
          <c:spPr>
            <a:solidFill>
              <a:schemeClr val="accent6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945744276165363"/>
                  <c:y val="-5.5842000098579321E-2"/>
                </c:manualLayout>
              </c:layout>
              <c:tx>
                <c:rich>
                  <a:bodyPr/>
                  <a:lstStyle/>
                  <a:p>
                    <a:fld id="{DC62215D-0B02-4252-80F9-674001BF6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Matrix!$L$39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Matrix!$K$39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Matrix!$B$39</c15:f>
                <c15:dlblRangeCache>
                  <c:ptCount val="1"/>
                  <c:pt idx="0">
                    <c:v>Logistician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6765-4D9A-80E9-FA51C0AC5529}"/>
            </c:ext>
          </c:extLst>
        </c:ser>
        <c:ser>
          <c:idx val="6"/>
          <c:order val="6"/>
          <c:tx>
            <c:v>7</c:v>
          </c:tx>
          <c:spPr>
            <a:solidFill>
              <a:schemeClr val="accent1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2020282669854819"/>
                  <c:y val="-7.703943551964571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478D29C-DAF1-47C0-B0EB-A796846BF4BD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Matrix!$L$40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Matrix!$K$40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Matrix!$B$40</c15:f>
                <c15:dlblRangeCache>
                  <c:ptCount val="1"/>
                  <c:pt idx="0">
                    <c:v>Knowledge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765-4D9A-80E9-FA51C0AC5529}"/>
            </c:ext>
          </c:extLst>
        </c:ser>
        <c:ser>
          <c:idx val="7"/>
          <c:order val="7"/>
          <c:tx>
            <c:v>8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9042174743644987E-2"/>
                  <c:y val="1.346805840445578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502CA59-DC57-462F-B0A6-6A0D02DE6F6A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Matrix!$L$41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Matrix!$K$41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Matrix!$B$41</c15:f>
                <c15:dlblRangeCache>
                  <c:ptCount val="1"/>
                  <c:pt idx="0">
                    <c:v>Pilot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6765-4D9A-80E9-FA51C0AC5529}"/>
            </c:ext>
          </c:extLst>
        </c:ser>
        <c:ser>
          <c:idx val="8"/>
          <c:order val="8"/>
          <c:tx>
            <c:v>9</c:v>
          </c:tx>
          <c:spPr>
            <a:solidFill>
              <a:schemeClr val="accent3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415121708559939E-2"/>
                  <c:y val="0.11556529552942782"/>
                </c:manualLayout>
              </c:layout>
              <c:tx>
                <c:rich>
                  <a:bodyPr rot="0" spcFirstLastPara="1" vertOverflow="overflow" horzOverflow="overflow" vert="horz" wrap="square" lIns="0" tIns="36000" rIns="0" bIns="19050" numCol="1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22E791-6E0F-4D58-B059-68C4E588E949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36000" rIns="0" bIns="19050" numCol="1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36000" rIns="0" bIns="19050" numCol="1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Matrix!$L$42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Matrix!$K$42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Matrix!$B$42</c15:f>
                <c15:dlblRangeCache>
                  <c:ptCount val="1"/>
                  <c:pt idx="0">
                    <c:v>Electromagnetic Analyzer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6765-4D9A-80E9-FA51C0AC5529}"/>
            </c:ext>
          </c:extLst>
        </c:ser>
        <c:ser>
          <c:idx val="9"/>
          <c:order val="9"/>
          <c:tx>
            <c:v>10</c:v>
          </c:tx>
          <c:spPr>
            <a:solidFill>
              <a:schemeClr val="accent4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8842274234070039E-2"/>
                  <c:y val="5.200438298824251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15C8530-B50D-4C2D-8863-D5537F1AA2B3}" type="CELLRANGE">
                      <a:rPr lang="en-US"/>
                      <a:pPr algn="l"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Matrix!$L$43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Matrix!$K$43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Matrix!$B$43</c15:f>
                <c15:dlblRangeCache>
                  <c:ptCount val="1"/>
                  <c:pt idx="0">
                    <c:v>Writer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6765-4D9A-80E9-FA51C0AC5529}"/>
            </c:ext>
          </c:extLst>
        </c:ser>
        <c:ser>
          <c:idx val="10"/>
          <c:order val="10"/>
          <c:tx>
            <c:v>11</c:v>
          </c:tx>
          <c:spPr>
            <a:solidFill>
              <a:schemeClr val="accent5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8842274234070039E-2"/>
                  <c:y val="3.081741214118075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66787FA-A95E-49BD-89B5-37059F378711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Matrix!$L$44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Matrix!$K$44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Matrix!$B$44</c15:f>
                <c15:dlblRangeCache>
                  <c:ptCount val="1"/>
                  <c:pt idx="0">
                    <c:v>Editor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6765-4D9A-80E9-FA51C0AC5529}"/>
            </c:ext>
          </c:extLst>
        </c:ser>
        <c:ser>
          <c:idx val="11"/>
          <c:order val="11"/>
          <c:tx>
            <c:v>12</c:v>
          </c:tx>
          <c:spPr>
            <a:solidFill>
              <a:schemeClr val="accent6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2648953469415056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58C9568-41EA-46DB-8763-E55198BC9BA7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Matrix!$L$45</c:f>
              <c:numCache>
                <c:formatCode>0</c:formatCode>
                <c:ptCount val="1"/>
                <c:pt idx="0">
                  <c:v>10</c:v>
                </c:pt>
              </c:numCache>
            </c:numRef>
          </c:xVal>
          <c:yVal>
            <c:numRef>
              <c:f>Matrix!$K$45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Matrix!$B$45</c15:f>
                <c15:dlblRangeCache>
                  <c:ptCount val="1"/>
                  <c:pt idx="0">
                    <c:v>Project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6765-4D9A-80E9-FA51C0AC5529}"/>
            </c:ext>
          </c:extLst>
        </c:ser>
        <c:ser>
          <c:idx val="12"/>
          <c:order val="12"/>
          <c:tx>
            <c:v>13</c:v>
          </c:tx>
          <c:spPr>
            <a:solidFill>
              <a:schemeClr val="accent1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2210568558517509"/>
                  <c:y val="5.7782647764713915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40CE303-DEC5-4809-BCCE-6D1CDC96C530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Matrix!$L$46</c:f>
              <c:numCache>
                <c:formatCode>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Matrix!$K$46</c:f>
              <c:numCache>
                <c:formatCode>0</c:formatCode>
                <c:ptCount val="1"/>
                <c:pt idx="0">
                  <c:v>8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Matrix!$B$46</c15:f>
                <c15:dlblRangeCache>
                  <c:ptCount val="1"/>
                  <c:pt idx="0">
                    <c:v>Distinguished Visitors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6765-4D9A-80E9-FA51C0AC5529}"/>
            </c:ext>
          </c:extLst>
        </c:ser>
        <c:ser>
          <c:idx val="13"/>
          <c:order val="13"/>
          <c:tx>
            <c:v>14</c:v>
          </c:tx>
          <c:spPr>
            <a:solidFill>
              <a:schemeClr val="accent2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980812560875181E-2"/>
                  <c:y val="2.503914736470921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70F113E-67FE-4F78-8AEB-F23B8B344285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Matrix!$L$47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Matrix!$K$47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Matrix!$B$47</c15:f>
                <c15:dlblRangeCache>
                  <c:ptCount val="1"/>
                  <c:pt idx="0">
                    <c:v>Vehicle Mechanic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6765-4D9A-80E9-FA51C0AC5529}"/>
            </c:ext>
          </c:extLst>
        </c:ser>
        <c:ser>
          <c:idx val="14"/>
          <c:order val="14"/>
          <c:tx>
            <c:v>15</c:v>
          </c:tx>
          <c:spPr>
            <a:solidFill>
              <a:schemeClr val="accent3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086991417905769"/>
                  <c:y val="5.00782947294187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187B64D-2399-4B8F-A404-29FAC3B8DDF1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Matrix!$L$48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Matrix!$K$48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Matrix!$B$48</c15:f>
                <c15:dlblRangeCache>
                  <c:ptCount val="1"/>
                  <c:pt idx="0">
                    <c:v>Railyard Workers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6765-4D9A-80E9-FA51C0AC5529}"/>
            </c:ext>
          </c:extLst>
        </c:ser>
        <c:ser>
          <c:idx val="15"/>
          <c:order val="15"/>
          <c:tx>
            <c:v>16</c:v>
          </c:tx>
          <c:spPr>
            <a:solidFill>
              <a:schemeClr val="accent4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9460159937128741E-2"/>
                  <c:y val="4.43000299529473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7A5F925-AFC9-4B1F-B087-637AC9C5A9F4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Matrix!$L$49</c:f>
              <c:numCache>
                <c:formatCode>0</c:formatCode>
                <c:ptCount val="1"/>
                <c:pt idx="0">
                  <c:v>5</c:v>
                </c:pt>
              </c:numCache>
            </c:numRef>
          </c:xVal>
          <c:yVal>
            <c:numRef>
              <c:f>Matrix!$K$49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Matrix!$B$49</c15:f>
                <c15:dlblRangeCache>
                  <c:ptCount val="1"/>
                  <c:pt idx="0">
                    <c:v>ABCS Integration Specialist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6765-4D9A-80E9-FA51C0AC5529}"/>
            </c:ext>
          </c:extLst>
        </c:ser>
        <c:ser>
          <c:idx val="16"/>
          <c:order val="16"/>
          <c:tx>
            <c:v>17</c:v>
          </c:tx>
          <c:spPr>
            <a:solidFill>
              <a:schemeClr val="accent5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3707314218352223E-3"/>
                  <c:y val="5.00782947294187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6CFAD6-9329-47FC-A69B-2CD1E2535261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Matrix!$L$50</c:f>
              <c:numCache>
                <c:formatCode>0</c:formatCode>
                <c:ptCount val="1"/>
                <c:pt idx="0">
                  <c:v>5</c:v>
                </c:pt>
              </c:numCache>
            </c:numRef>
          </c:xVal>
          <c:yVal>
            <c:numRef>
              <c:f>Matrix!$K$50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Matrix!$B$50</c15:f>
                <c15:dlblRangeCache>
                  <c:ptCount val="1"/>
                  <c:pt idx="0">
                    <c:v>Legal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6765-4D9A-80E9-FA51C0AC5529}"/>
            </c:ext>
          </c:extLst>
        </c:ser>
        <c:ser>
          <c:idx val="17"/>
          <c:order val="17"/>
          <c:tx>
            <c:v>18</c:v>
          </c:tx>
          <c:spPr>
            <a:solidFill>
              <a:schemeClr val="accent6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6622759897834198E-2"/>
                  <c:y val="-5.970873602353771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56ABA34-F93B-43A7-9C6F-4EA1883ACD1B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Matrix!$L$51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Matrix!$K$51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Matrix!$B$51</c15:f>
                <c15:dlblRangeCache>
                  <c:ptCount val="1"/>
                  <c:pt idx="0">
                    <c:v>Office Landlord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6765-4D9A-80E9-FA51C0AC5529}"/>
            </c:ext>
          </c:extLst>
        </c:ser>
        <c:ser>
          <c:idx val="18"/>
          <c:order val="18"/>
          <c:tx>
            <c:v>19</c:v>
          </c:tx>
          <c:spPr>
            <a:solidFill>
              <a:schemeClr val="accent1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193170274936357"/>
                  <c:y val="-8.089570687059961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7BDB21A-2C22-4CFF-ADAD-3E8F9509A64D}" type="CELLRANGE">
                      <a:rPr lang="en-US"/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Matrix!$L$52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Matrix!$K$52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Matrix!$B$52</c15:f>
                <c15:dlblRangeCache>
                  <c:ptCount val="1"/>
                  <c:pt idx="0">
                    <c:v>Utility Companies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6765-4D9A-80E9-FA51C0AC5529}"/>
            </c:ext>
          </c:extLst>
        </c:ser>
        <c:ser>
          <c:idx val="19"/>
          <c:order val="19"/>
          <c:tx>
            <c:v>20</c:v>
          </c:tx>
          <c:spPr>
            <a:solidFill>
              <a:schemeClr val="accent2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494308562446963E-2"/>
                  <c:y val="1.9260882588236557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745DFDE-7578-4E07-B6C2-D108A352B4CC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Matrix!$L$53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Matrix!$K$53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Matrix!$B$53</c15:f>
                <c15:dlblRangeCache>
                  <c:ptCount val="1"/>
                  <c:pt idx="0">
                    <c:v>Satellite Team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6765-4D9A-80E9-FA51C0AC5529}"/>
            </c:ext>
          </c:extLst>
        </c:ser>
        <c:ser>
          <c:idx val="20"/>
          <c:order val="20"/>
          <c:tx>
            <c:v>21</c:v>
          </c:tx>
          <c:spPr>
            <a:solidFill>
              <a:schemeClr val="accent3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1313817046304854E-2"/>
                  <c:y val="-2.11869708470618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5F2F2CC-CC8C-4E12-9148-2E349F5E9303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Matrix!$L$54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Matrix!$K$54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Matrix!$B$54</c15:f>
                <c15:dlblRangeCache>
                  <c:ptCount val="1"/>
                  <c:pt idx="0">
                    <c:v>GCSS-A Suppliers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6765-4D9A-80E9-FA51C0AC5529}"/>
            </c:ext>
          </c:extLst>
        </c:ser>
        <c:ser>
          <c:idx val="21"/>
          <c:order val="21"/>
          <c:tx>
            <c:v>22</c:v>
          </c:tx>
          <c:spPr>
            <a:solidFill>
              <a:schemeClr val="accent4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2819508483857884E-2"/>
                  <c:y val="-4.237394169412353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D04A65-628B-4EDF-80E2-E84A718D36E7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Matrix!$L$55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Matrix!$K$55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Matrix!$B$55</c15:f>
                <c15:dlblRangeCache>
                  <c:ptCount val="1"/>
                  <c:pt idx="0">
                    <c:v>Materials Deliverer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6765-4D9A-80E9-FA51C0AC5529}"/>
            </c:ext>
          </c:extLst>
        </c:ser>
        <c:ser>
          <c:idx val="22"/>
          <c:order val="22"/>
          <c:tx>
            <c:v>23</c:v>
          </c:tx>
          <c:spPr>
            <a:solidFill>
              <a:schemeClr val="accent5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9190239905693108E-2"/>
                  <c:y val="-6.163482428236157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1CE57B2-334A-4261-BACE-8D7955090060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Matrix!$L$56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Matrix!$K$56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Matrix!$B$56</c15:f>
                <c15:dlblRangeCache>
                  <c:ptCount val="1"/>
                  <c:pt idx="0">
                    <c:v>Bulk Fuel Deliverer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6765-4D9A-80E9-FA51C0AC5529}"/>
            </c:ext>
          </c:extLst>
        </c:ser>
        <c:ser>
          <c:idx val="23"/>
          <c:order val="23"/>
          <c:tx>
            <c:v>24</c:v>
          </c:tx>
          <c:spPr>
            <a:solidFill>
              <a:schemeClr val="accent6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9808125608751838E-2"/>
                  <c:y val="4.622611821177098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EE24BEA-16F6-490C-989F-F57525AEFCCB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Matrix!$L$57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Matrix!$K$57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Matrix!$B$57</c15:f>
                <c15:dlblRangeCache>
                  <c:ptCount val="1"/>
                  <c:pt idx="0">
                    <c:v>Conference Hall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F-6765-4D9A-80E9-FA51C0AC5529}"/>
            </c:ext>
          </c:extLst>
        </c:ser>
        <c:ser>
          <c:idx val="24"/>
          <c:order val="24"/>
          <c:tx>
            <c:v>25</c:v>
          </c:tx>
          <c:spPr>
            <a:solidFill>
              <a:schemeClr val="accent1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086991417905769"/>
                  <c:y val="3.081741214118075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C4A38D7-A39A-4B61-8EA3-E27D9CA8638C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Matrix!$L$58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Matrix!$K$58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Matrix!$B$58</c15:f>
                <c15:dlblRangeCache>
                  <c:ptCount val="1"/>
                  <c:pt idx="0">
                    <c:v>Conference Hall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6765-4D9A-80E9-FA51C0AC5529}"/>
            </c:ext>
          </c:extLst>
        </c:ser>
        <c:ser>
          <c:idx val="25"/>
          <c:order val="25"/>
          <c:tx>
            <c:v>26</c:v>
          </c:tx>
          <c:spPr>
            <a:solidFill>
              <a:schemeClr val="accent2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980812560875181E-2"/>
                  <c:y val="-5.970873602353778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1DFB1D7-BF5A-4DC7-818D-9A58650664E1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Matrix!$L$59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Matrix!$K$59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Matrix!$B$59</c15:f>
                <c15:dlblRangeCache>
                  <c:ptCount val="1"/>
                  <c:pt idx="0">
                    <c:v>COMSEC Custodian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3-6765-4D9A-80E9-FA51C0AC5529}"/>
            </c:ext>
          </c:extLst>
        </c:ser>
        <c:ser>
          <c:idx val="26"/>
          <c:order val="26"/>
          <c:tx>
            <c:v>27</c:v>
          </c:tx>
          <c:spPr>
            <a:solidFill>
              <a:schemeClr val="accent3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9904062804375982E-2"/>
                  <c:y val="4.044785343529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842B79D-9E08-4B4C-A472-15D1950B4B80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Matrix!$L$60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Matrix!$K$60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Matrix!$B$60</c15:f>
                <c15:dlblRangeCache>
                  <c:ptCount val="1"/>
                  <c:pt idx="0">
                    <c:v>ABCS Systems Troubleshooting SME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5-6765-4D9A-80E9-FA51C0AC5529}"/>
            </c:ext>
          </c:extLst>
        </c:ser>
        <c:ser>
          <c:idx val="27"/>
          <c:order val="27"/>
          <c:tx>
            <c:v>28</c:v>
          </c:tx>
          <c:spPr>
            <a:solidFill>
              <a:schemeClr val="accent4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5560971327528325E-3"/>
                  <c:y val="0.1829783845882607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82AF78F-DFB6-4C16-B9F9-1FBD51B183FC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Matrix!$L$61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Matrix!$K$61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Matrix!$B$61</c15:f>
                <c15:dlblRangeCache>
                  <c:ptCount val="1"/>
                  <c:pt idx="0">
                    <c:v>Environmental Compliance Officer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7-6765-4D9A-80E9-FA51C0AC5529}"/>
            </c:ext>
          </c:extLst>
        </c:ser>
        <c:ser>
          <c:idx val="28"/>
          <c:order val="28"/>
          <c:tx>
            <c:v>29</c:v>
          </c:tx>
          <c:spPr>
            <a:solidFill>
              <a:schemeClr val="accent5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7.4325199921410146E-3"/>
                  <c:y val="0.2080175319529700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4676EB1-6574-4127-A3BD-C4BA0BDCC534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Matrix!$L$62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Matrix!$K$62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Matrix!$B$62</c15:f>
                <c15:dlblRangeCache>
                  <c:ptCount val="1"/>
                  <c:pt idx="0">
                    <c:v>Safety Regulation Compliance Officer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9-6765-4D9A-80E9-FA51C0AC5529}"/>
            </c:ext>
          </c:extLst>
        </c:ser>
        <c:ser>
          <c:idx val="29"/>
          <c:order val="29"/>
          <c:tx>
            <c:v>30</c:v>
          </c:tx>
          <c:spPr>
            <a:solidFill>
              <a:schemeClr val="accent6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193170274936356"/>
                  <c:y val="-8.089570687059947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611F24-56CE-4707-BB62-6A1D8B207F9D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Matrix!$L$63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Matrix!$K$63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Matrix!$B$63</c15:f>
                <c15:dlblRangeCache>
                  <c:ptCount val="1"/>
                  <c:pt idx="0">
                    <c:v>Security Background Adjudicator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6765-4D9A-80E9-FA51C0AC5529}"/>
            </c:ext>
          </c:extLst>
        </c:ser>
        <c:ser>
          <c:idx val="30"/>
          <c:order val="30"/>
          <c:tx>
            <c:v>31</c:v>
          </c:tx>
          <c:spPr>
            <a:solidFill>
              <a:schemeClr val="accent1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2741462843670445E-2"/>
                  <c:y val="0.1194174720470752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8A7AA2D-B408-4419-A0DE-C134F60EA18F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Matrix!$L$64</c:f>
              <c:numCache>
                <c:formatCode>0</c:formatCode>
                <c:ptCount val="1"/>
                <c:pt idx="0">
                  <c:v>9</c:v>
                </c:pt>
              </c:numCache>
            </c:numRef>
          </c:xVal>
          <c:yVal>
            <c:numRef>
              <c:f>Matrix!$K$64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Matrix!$B$64</c15:f>
                <c15:dlblRangeCache>
                  <c:ptCount val="1"/>
                  <c:pt idx="0">
                    <c:v>LSCO Warfighting Researchers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D-6765-4D9A-80E9-FA51C0AC5529}"/>
            </c:ext>
          </c:extLst>
        </c:ser>
        <c:ser>
          <c:idx val="31"/>
          <c:order val="31"/>
          <c:tx>
            <c:v>32</c:v>
          </c:tx>
          <c:spPr>
            <a:solidFill>
              <a:schemeClr val="accent2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9730079968564409E-2"/>
                  <c:y val="0.2542436501647410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6EC3624-7080-4555-AD8B-9D12062F35BA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Matrix!$L$65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Matrix!$K$65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Matrix!$B$65</c15:f>
                <c15:dlblRangeCache>
                  <c:ptCount val="1"/>
                  <c:pt idx="0">
                    <c:v>Communications and Electronics Shop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F-6765-4D9A-80E9-FA51C0AC5529}"/>
            </c:ext>
          </c:extLst>
        </c:ser>
        <c:ser>
          <c:idx val="32"/>
          <c:order val="32"/>
          <c:tx>
            <c:v>33</c:v>
          </c:tx>
          <c:spPr>
            <a:solidFill>
              <a:schemeClr val="accent3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4865039984282185E-2"/>
                  <c:y val="0.231130591058855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6A5D464-9B54-4616-8D93-C1E4B1752F17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Matrix!$L$66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Matrix!$K$66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Matrix!$B$66</c15:f>
                <c15:dlblRangeCache>
                  <c:ptCount val="1"/>
                  <c:pt idx="0">
                    <c:v>Communications and Electronics Shop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1-6765-4D9A-80E9-FA51C0AC5529}"/>
            </c:ext>
          </c:extLst>
        </c:ser>
        <c:ser>
          <c:idx val="33"/>
          <c:order val="33"/>
          <c:tx>
            <c:v>34</c:v>
          </c:tx>
          <c:spPr>
            <a:solidFill>
              <a:schemeClr val="accent4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8.7066662765081362E-2"/>
                  <c:y val="4.815220647059492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89CB28-4E30-4F54-BEB4-D849EFAD9EF3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Matrix!$L$67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Matrix!$K$67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Matrix!$B$67</c15:f>
                <c15:dlblRangeCache>
                  <c:ptCount val="1"/>
                  <c:pt idx="0">
                    <c:v>2IBCT/82D ABN DIV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3-6765-4D9A-80E9-FA51C0AC5529}"/>
            </c:ext>
          </c:extLst>
        </c:ser>
        <c:ser>
          <c:idx val="34"/>
          <c:order val="34"/>
          <c:tx>
            <c:v>35</c:v>
          </c:tx>
          <c:spPr>
            <a:solidFill>
              <a:schemeClr val="accent5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0252028475998974E-2"/>
                  <c:y val="3.081741214118075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2D78454-5627-4915-90C5-F15F26C4DE30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Matrix!$L$68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Matrix!$K$68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Matrix!$B$68</c15:f>
                <c15:dlblRangeCache>
                  <c:ptCount val="1"/>
                  <c:pt idx="0">
                    <c:v>3IBCT/25TH IN DIV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6765-4D9A-80E9-FA51C0AC5529}"/>
            </c:ext>
          </c:extLst>
        </c:ser>
        <c:ser>
          <c:idx val="35"/>
          <c:order val="35"/>
          <c:tx>
            <c:v>36</c:v>
          </c:tx>
          <c:spPr>
            <a:solidFill>
              <a:schemeClr val="accent6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237560561661072E-2"/>
                  <c:y val="-2.311305910588563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61431E6-00B2-4591-9478-4C146FE03625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Matrix!$L$69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Matrix!$K$69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Matrix!$B$69</c15:f>
                <c15:dlblRangeCache>
                  <c:ptCount val="1"/>
                  <c:pt idx="0">
                    <c:v>75TH RANGER REG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7-6765-4D9A-80E9-FA51C0AC5529}"/>
            </c:ext>
          </c:extLst>
        </c:ser>
        <c:ser>
          <c:idx val="36"/>
          <c:order val="36"/>
          <c:tx>
            <c:v>37</c:v>
          </c:tx>
          <c:spPr>
            <a:solidFill>
              <a:schemeClr val="accent1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8.0695931343246152E-2"/>
                  <c:y val="8.089570687059947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43B6B3A-6FF2-4EDA-83A3-0CABE4B680FD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Matrix!$L$70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Matrix!$K$70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Matrix!$B$70</c15:f>
                <c15:dlblRangeCache>
                  <c:ptCount val="1"/>
                  <c:pt idx="0">
                    <c:v>2IBCT/101ST ABN DIV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6765-4D9A-80E9-FA51C0AC5529}"/>
            </c:ext>
          </c:extLst>
        </c:ser>
        <c:ser>
          <c:idx val="37"/>
          <c:order val="37"/>
          <c:tx>
            <c:v>38</c:v>
          </c:tx>
          <c:spPr>
            <a:solidFill>
              <a:schemeClr val="accent2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8.3881297054163764E-2"/>
                  <c:y val="6.548700080000910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A1BD094-C0A4-41BC-8CDD-FD13050DA0F5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Matrix!$L$71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Matrix!$K$71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Matrix!$B$71</c15:f>
                <c15:dlblRangeCache>
                  <c:ptCount val="1"/>
                  <c:pt idx="0">
                    <c:v>1IBCT/11TH ABN DIV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B-6765-4D9A-80E9-FA51C0AC5529}"/>
            </c:ext>
          </c:extLst>
        </c:ser>
        <c:ser>
          <c:idx val="38"/>
          <c:order val="38"/>
          <c:tx>
            <c:v>39</c:v>
          </c:tx>
          <c:spPr>
            <a:solidFill>
              <a:schemeClr val="accent3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8.9190239905693108E-2"/>
                  <c:y val="-3.852176517647594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4ED3A95-B6BF-40EA-BA4D-93012F9B1CE0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Matrix!$L$72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Matrix!$K$72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Matrix!$B$72</c15:f>
                <c15:dlblRangeCache>
                  <c:ptCount val="1"/>
                  <c:pt idx="0">
                    <c:v>1IBCT/82D ABN DIV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D-6765-4D9A-80E9-FA51C0AC5529}"/>
            </c:ext>
          </c:extLst>
        </c:ser>
        <c:ser>
          <c:idx val="39"/>
          <c:order val="39"/>
          <c:tx>
            <c:v>40</c:v>
          </c:tx>
          <c:spPr>
            <a:solidFill>
              <a:schemeClr val="accent4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2406456008929"/>
                  <c:y val="-4.237394169412360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7AEB04C-A698-4817-9F00-9C8DA0EAF040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Matrix!$L$73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Matrix!$K$73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Matrix!$B$73</c15:f>
                <c15:dlblRangeCache>
                  <c:ptCount val="1"/>
                  <c:pt idx="0">
                    <c:v>7TH SF GROUP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F-6765-4D9A-80E9-FA51C0AC5529}"/>
            </c:ext>
          </c:extLst>
        </c:ser>
        <c:ser>
          <c:idx val="40"/>
          <c:order val="40"/>
          <c:tx>
            <c:v>41</c:v>
          </c:tx>
          <c:spPr>
            <a:solidFill>
              <a:schemeClr val="accent5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8.1757719913552018E-2"/>
                  <c:y val="1.540870607059037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4BAA317-DD5A-4125-A6CA-DB727AC1E0D9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Matrix!$L$74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Matrix!$K$74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Matrix!$B$74</c15:f>
                <c15:dlblRangeCache>
                  <c:ptCount val="1"/>
                  <c:pt idx="0">
                    <c:v>1IBCT/10TH MTN DIV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1-6765-4D9A-80E9-FA51C0AC5529}"/>
            </c:ext>
          </c:extLst>
        </c:ser>
        <c:ser>
          <c:idx val="41"/>
          <c:order val="41"/>
          <c:tx>
            <c:v>42</c:v>
          </c:tx>
          <c:spPr>
            <a:solidFill>
              <a:schemeClr val="accent6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9730079968564371E-2"/>
                  <c:y val="2.503914736470934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648544F-9379-4BE2-8854-49ECD174B099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Matrix!$L$75</c:f>
              <c:numCache>
                <c:formatCode>0</c:formatCode>
                <c:ptCount val="1"/>
                <c:pt idx="0">
                  <c:v>10</c:v>
                </c:pt>
              </c:numCache>
            </c:numRef>
          </c:xVal>
          <c:yVal>
            <c:numRef>
              <c:f>Matrix!$K$75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Matrix!$B$75</c15:f>
                <c15:dlblRangeCache>
                  <c:ptCount val="1"/>
                  <c:pt idx="0">
                    <c:v>JRTC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3-6765-4D9A-80E9-FA51C0AC5529}"/>
            </c:ext>
          </c:extLst>
        </c:ser>
        <c:ser>
          <c:idx val="42"/>
          <c:order val="42"/>
          <c:tx>
            <c:v>43</c:v>
          </c:tx>
          <c:spPr>
            <a:solidFill>
              <a:schemeClr val="accent1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613918626864923"/>
                  <c:y val="3.659567691765214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5AF0283-CCA3-43DB-A535-E6ED16D1E11A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Matrix!$L$76</c:f>
              <c:numCache>
                <c:formatCode>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Matrix!$K$76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Matrix!$B$76</c15:f>
                <c15:dlblRangeCache>
                  <c:ptCount val="1"/>
                  <c:pt idx="0">
                    <c:v>FORSCOM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5-6765-4D9A-80E9-FA51C0AC5529}"/>
            </c:ext>
          </c:extLst>
        </c:ser>
        <c:ser>
          <c:idx val="43"/>
          <c:order val="43"/>
          <c:tx>
            <c:v>44</c:v>
          </c:tx>
          <c:spPr>
            <a:solidFill>
              <a:schemeClr val="accent2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900601540847508"/>
                  <c:y val="5.007829472941865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DFF33DC-31A5-4E52-BE80-90F46995830E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Matrix!$L$77</c:f>
              <c:numCache>
                <c:formatCode>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Matrix!$K$77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Matrix!$B$77</c15:f>
                <c15:dlblRangeCache>
                  <c:ptCount val="1"/>
                  <c:pt idx="0">
                    <c:v>Center for Army Lessons Learned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7-6765-4D9A-80E9-FA51C0AC5529}"/>
            </c:ext>
          </c:extLst>
        </c:ser>
        <c:ser>
          <c:idx val="44"/>
          <c:order val="44"/>
          <c:tx>
            <c:v>45</c:v>
          </c:tx>
          <c:spPr>
            <a:solidFill>
              <a:schemeClr val="accent3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1361137702272812"/>
                  <c:y val="4.237394169412346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D2FF12-8549-4417-ABD3-71E0DD497B86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Matrix!$L$78</c:f>
              <c:numCache>
                <c:formatCode>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Matrix!$K$78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Matrix!$B$78</c15:f>
                <c15:dlblRangeCache>
                  <c:ptCount val="1"/>
                  <c:pt idx="0">
                    <c:v>TRADOC Command and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9-6765-4D9A-80E9-FA51C0AC5529}"/>
            </c:ext>
          </c:extLst>
        </c:ser>
        <c:ser>
          <c:idx val="45"/>
          <c:order val="45"/>
          <c:tx>
            <c:v>46</c:v>
          </c:tx>
          <c:spPr>
            <a:solidFill>
              <a:schemeClr val="accent4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5926828554587977E-2"/>
                  <c:y val="7.704353035295117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CC795F1-2E50-4E64-9E75-9CD9FA85FC35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Matrix!$L$79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Matrix!$K$79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Matrix!$B$79</c15:f>
                <c15:dlblRangeCache>
                  <c:ptCount val="1"/>
                  <c:pt idx="0">
                    <c:v>Army Times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B-6765-4D9A-80E9-FA51C0AC5529}"/>
            </c:ext>
          </c:extLst>
        </c:ser>
        <c:ser>
          <c:idx val="46"/>
          <c:order val="46"/>
          <c:tx>
            <c:v>47</c:v>
          </c:tx>
          <c:spPr>
            <a:solidFill>
              <a:schemeClr val="accent5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2375605616610804E-2"/>
                  <c:y val="3.466958865882834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577B732-BAF9-4507-B8BD-5D9C1E1040F7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Matrix!$L$80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Matrix!$K$80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Matrix!$B$80</c15:f>
                <c15:dlblRangeCache>
                  <c:ptCount val="1"/>
                  <c:pt idx="0">
                    <c:v>Secretary of the Army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D-6765-4D9A-80E9-FA51C0AC5529}"/>
            </c:ext>
          </c:extLst>
        </c:ser>
        <c:ser>
          <c:idx val="47"/>
          <c:order val="47"/>
          <c:tx>
            <c:v>48</c:v>
          </c:tx>
          <c:spPr>
            <a:solidFill>
              <a:schemeClr val="accent6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7066662765081446E-2"/>
                  <c:y val="5.393047124706631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15DDA29-BA64-4E3C-8FF7-56AA4C76E316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Matrix!$L$81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Matrix!$K$81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Matrix!$B$81</c15:f>
                <c15:dlblRangeCache>
                  <c:ptCount val="1"/>
                  <c:pt idx="0">
                    <c:v>Joint Chiefs of Staff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F-6765-4D9A-80E9-FA51C0AC5529}"/>
            </c:ext>
          </c:extLst>
        </c:ser>
        <c:ser>
          <c:idx val="48"/>
          <c:order val="48"/>
          <c:tx>
            <c:v>49</c:v>
          </c:tx>
          <c:spPr>
            <a:solidFill>
              <a:schemeClr val="accent1">
                <a:lumMod val="50000"/>
                <a:lumOff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7684548468140078E-2"/>
                  <c:y val="3.6595676917652142E-2"/>
                </c:manualLayout>
              </c:layout>
              <c:tx>
                <c:rich>
                  <a:bodyPr/>
                  <a:lstStyle/>
                  <a:p>
                    <a:fld id="{EB3E3F77-03C9-4E8F-8647-EE2A962A03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Matrix!$L$82</c:f>
              <c:numCache>
                <c:formatCode>0</c:formatCode>
                <c:ptCount val="1"/>
                <c:pt idx="0">
                  <c:v>5</c:v>
                </c:pt>
              </c:numCache>
            </c:numRef>
          </c:xVal>
          <c:yVal>
            <c:numRef>
              <c:f>Matrix!$K$82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Matrix!$B$82</c15:f>
                <c15:dlblRangeCache>
                  <c:ptCount val="1"/>
                  <c:pt idx="0">
                    <c:v>Secretary of Defense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6765-4D9A-80E9-FA51C0AC5529}"/>
            </c:ext>
          </c:extLst>
        </c:ser>
        <c:ser>
          <c:idx val="49"/>
          <c:order val="49"/>
          <c:tx>
            <c:v>50</c:v>
          </c:tx>
          <c:spPr>
            <a:solidFill>
              <a:schemeClr val="accent2">
                <a:lumMod val="50000"/>
                <a:lumOff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7.1139834210493316E-2"/>
                  <c:y val="3.466958865882834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5288A5C-8F2C-4BAB-9CD7-6928AA8D65E5}" type="CELLRANGE">
                      <a:rPr lang="en-US"/>
                      <a:pPr>
                        <a:defRPr>
                          <a:solidFill>
                            <a:srgbClr val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FA27-48CA-A497-BF579B720D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Matrix!$L$83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Matrix!$K$83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Matrix!$B$83</c15:f>
                <c15:dlblRangeCache>
                  <c:ptCount val="1"/>
                  <c:pt idx="0">
                    <c:v>US Congress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3-6765-4D9A-80E9-FA51C0AC5529}"/>
            </c:ext>
          </c:extLst>
        </c:ser>
        <c:ser>
          <c:idx val="50"/>
          <c:order val="50"/>
          <c:tx>
            <c:v>51</c:v>
          </c:tx>
          <c:spPr>
            <a:solidFill>
              <a:schemeClr val="accent3">
                <a:lumMod val="50000"/>
                <a:lumOff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7.9634142772940356E-2"/>
                  <c:y val="1.1556529552942783E-2"/>
                </c:manualLayout>
              </c:layout>
              <c:tx>
                <c:rich>
                  <a:bodyPr/>
                  <a:lstStyle/>
                  <a:p>
                    <a:fld id="{C8CAE61F-9ED3-4127-92DA-36FDA3CD1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Matrix!$L$84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Matrix!$K$84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Matrix!$B$84</c15:f>
                <c15:dlblRangeCache>
                  <c:ptCount val="1"/>
                  <c:pt idx="0">
                    <c:v>US Senate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69FA-4601-B915-C5182518D7D9}"/>
            </c:ext>
          </c:extLst>
        </c:ser>
        <c:ser>
          <c:idx val="51"/>
          <c:order val="51"/>
          <c:tx>
            <c:v>52</c:v>
          </c:tx>
          <c:spPr>
            <a:solidFill>
              <a:schemeClr val="accent4">
                <a:lumMod val="50000"/>
                <a:lumOff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1148779988211646"/>
                  <c:y val="1.5408706070590372E-2"/>
                </c:manualLayout>
              </c:layout>
              <c:tx>
                <c:rich>
                  <a:bodyPr/>
                  <a:lstStyle/>
                  <a:p>
                    <a:fld id="{BF74A830-62A7-470C-918C-2F59C4DA58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Matrix!$L$85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Matrix!$K$85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Matrix!$B$85</c15:f>
                <c15:dlblRangeCache>
                  <c:ptCount val="1"/>
                  <c:pt idx="0">
                    <c:v>US President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69FA-4601-B915-C5182518D7D9}"/>
            </c:ext>
          </c:extLst>
        </c:ser>
        <c:ser>
          <c:idx val="52"/>
          <c:order val="52"/>
          <c:tx>
            <c:v>53</c:v>
          </c:tx>
          <c:spPr>
            <a:solidFill>
              <a:schemeClr val="accent5">
                <a:lumMod val="50000"/>
                <a:lumOff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8793657694413912"/>
                  <c:y val="0.10015658945883744"/>
                </c:manualLayout>
              </c:layout>
              <c:tx>
                <c:rich>
                  <a:bodyPr/>
                  <a:lstStyle/>
                  <a:p>
                    <a:fld id="{AFE00145-B30E-4EAA-880A-D722DACBF1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Matrix!$L$86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Matrix!$K$86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Matrix!$B$86</c15:f>
                <c15:dlblRangeCache>
                  <c:ptCount val="1"/>
                  <c:pt idx="0">
                    <c:v>Congress Appropriations Committee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9FA-4601-B915-C5182518D7D9}"/>
            </c:ext>
          </c:extLst>
        </c:ser>
        <c:ser>
          <c:idx val="53"/>
          <c:order val="53"/>
          <c:tx>
            <c:v>54</c:v>
          </c:tx>
          <c:spPr>
            <a:solidFill>
              <a:schemeClr val="accent6">
                <a:lumMod val="50000"/>
                <a:lumOff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9006015408475083"/>
                  <c:y val="7.5117442094128087E-2"/>
                </c:manualLayout>
              </c:layout>
              <c:tx>
                <c:rich>
                  <a:bodyPr/>
                  <a:lstStyle/>
                  <a:p>
                    <a:fld id="{C6263B18-A574-4304-B628-75F89CA2E4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Matrix!$L$87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Matrix!$K$87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Matrix!$B$87</c15:f>
                <c15:dlblRangeCache>
                  <c:ptCount val="1"/>
                  <c:pt idx="0">
                    <c:v>Congress Armed Services Committee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9FA-4601-B915-C5182518D7D9}"/>
            </c:ext>
          </c:extLst>
        </c:ser>
        <c:ser>
          <c:idx val="54"/>
          <c:order val="54"/>
          <c:tx>
            <c:v>55</c:v>
          </c:tx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9643088550658605"/>
                  <c:y val="2.5039147364709378E-2"/>
                </c:manualLayout>
              </c:layout>
              <c:tx>
                <c:rich>
                  <a:bodyPr/>
                  <a:lstStyle/>
                  <a:p>
                    <a:fld id="{60E43546-42F4-46F9-9404-236706F1A0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Matrix!$L$88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Matrix!$K$88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Matrix!$B$88</c15:f>
                <c15:dlblRangeCache>
                  <c:ptCount val="1"/>
                  <c:pt idx="0">
                    <c:v>Congress Budget Committee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9FA-4601-B915-C5182518D7D9}"/>
            </c:ext>
          </c:extLst>
        </c:ser>
        <c:ser>
          <c:idx val="55"/>
          <c:order val="55"/>
          <c:tx>
            <c:v>56</c:v>
          </c:tx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9430730836597426"/>
                  <c:y val="5.0078294729418688E-2"/>
                </c:manualLayout>
              </c:layout>
              <c:tx>
                <c:rich>
                  <a:bodyPr/>
                  <a:lstStyle/>
                  <a:p>
                    <a:fld id="{DA55787A-4EFA-4688-9E2A-05CC79D9AC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Matrix!$L$89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Matrix!$K$89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Matrix!$B$89</c15:f>
                <c15:dlblRangeCache>
                  <c:ptCount val="1"/>
                  <c:pt idx="0">
                    <c:v>Congress Veterans Affairs Committee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69FA-4601-B915-C5182518D7D9}"/>
            </c:ext>
          </c:extLst>
        </c:ser>
        <c:ser>
          <c:idx val="58"/>
          <c:order val="56"/>
          <c:tx>
            <c:v>57</c:v>
          </c:tx>
          <c:spPr>
            <a:solidFill>
              <a:schemeClr val="accent5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9749267407689189"/>
                  <c:y val="-0.11749138378825165"/>
                </c:manualLayout>
              </c:layout>
              <c:tx>
                <c:rich>
                  <a:bodyPr/>
                  <a:lstStyle/>
                  <a:p>
                    <a:fld id="{27203E41-A4DA-43DC-9823-AECD283BFF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Matrix!$L$90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Matrix!$K$90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Matrix!$B$90</c15:f>
                <c15:dlblRangeCache>
                  <c:ptCount val="1"/>
                  <c:pt idx="0">
                    <c:v>Mission Command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69FA-4601-B915-C5182518D7D9}"/>
            </c:ext>
          </c:extLst>
        </c:ser>
        <c:ser>
          <c:idx val="59"/>
          <c:order val="57"/>
          <c:tx>
            <c:v>58</c:v>
          </c:tx>
          <c:spPr>
            <a:solidFill>
              <a:schemeClr val="accent6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6457722839740999"/>
                  <c:y val="-5.9708736023537712E-2"/>
                </c:manualLayout>
              </c:layout>
              <c:tx>
                <c:rich>
                  <a:bodyPr/>
                  <a:lstStyle/>
                  <a:p>
                    <a:fld id="{8207DB04-A912-4620-A5F5-0C0ECC461C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Matrix!$L$91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Matrix!$K$91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Matrix!$B$91</c15:f>
                <c15:dlblRangeCache>
                  <c:ptCount val="1"/>
                  <c:pt idx="0">
                    <c:v>Manuever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69FA-4601-B915-C5182518D7D9}"/>
            </c:ext>
          </c:extLst>
        </c:ser>
        <c:ser>
          <c:idx val="60"/>
          <c:order val="58"/>
          <c:tx>
            <c:v>59</c:v>
          </c:tx>
          <c:spPr>
            <a:solidFill>
              <a:schemeClr val="accent1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528975541240454"/>
                  <c:y val="-3.8521765176475938E-2"/>
                </c:manualLayout>
              </c:layout>
              <c:tx>
                <c:rich>
                  <a:bodyPr/>
                  <a:lstStyle/>
                  <a:p>
                    <a:fld id="{B99D409E-24DF-4664-AC14-829203A9BD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Matrix!$L$92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Matrix!$K$92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Matrix!$B$92</c15:f>
                <c15:dlblRangeCache>
                  <c:ptCount val="1"/>
                  <c:pt idx="0">
                    <c:v>Cyber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9FA-4601-B915-C5182518D7D9}"/>
            </c:ext>
          </c:extLst>
        </c:ser>
        <c:ser>
          <c:idx val="61"/>
          <c:order val="59"/>
          <c:tx>
            <c:v>60</c:v>
          </c:tx>
          <c:spPr>
            <a:solidFill>
              <a:schemeClr val="accent2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4440324556159836"/>
                  <c:y val="-1.7334794329414243E-2"/>
                </c:manualLayout>
              </c:layout>
              <c:tx>
                <c:rich>
                  <a:bodyPr/>
                  <a:lstStyle/>
                  <a:p>
                    <a:fld id="{DAC8BB9A-B02B-496E-88EA-2C6814074A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Matrix!$L$93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Matrix!$K$93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Matrix!$B$93</c15:f>
                <c15:dlblRangeCache>
                  <c:ptCount val="1"/>
                  <c:pt idx="0">
                    <c:v>Fires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69FA-4601-B915-C5182518D7D9}"/>
            </c:ext>
          </c:extLst>
        </c:ser>
        <c:ser>
          <c:idx val="62"/>
          <c:order val="60"/>
          <c:tx>
            <c:v>61</c:v>
          </c:tx>
          <c:spPr>
            <a:solidFill>
              <a:schemeClr val="accent3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7519511410046862"/>
                  <c:y val="-7.8969618611775677E-2"/>
                </c:manualLayout>
              </c:layout>
              <c:tx>
                <c:rich>
                  <a:bodyPr/>
                  <a:lstStyle/>
                  <a:p>
                    <a:fld id="{01500258-32E1-4BFF-AC6B-29457128B1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Matrix!$L$94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Matrix!$K$94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Matrix!$B$94</c15:f>
                <c15:dlblRangeCache>
                  <c:ptCount val="1"/>
                  <c:pt idx="0">
                    <c:v>Intelligence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69FA-4601-B915-C5182518D7D9}"/>
            </c:ext>
          </c:extLst>
        </c:ser>
        <c:ser>
          <c:idx val="63"/>
          <c:order val="61"/>
          <c:tx>
            <c:v>62</c:v>
          </c:tx>
          <c:spPr>
            <a:solidFill>
              <a:schemeClr val="accent4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0704877120964471"/>
                  <c:y val="-0.1367522663764896"/>
                </c:manualLayout>
              </c:layout>
              <c:tx>
                <c:rich>
                  <a:bodyPr/>
                  <a:lstStyle/>
                  <a:p>
                    <a:fld id="{2A542B32-7849-4A8B-A42C-89BBC5242D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Matrix!$L$95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Matrix!$K$95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Matrix!$B$95</c15:f>
                <c15:dlblRangeCache>
                  <c:ptCount val="1"/>
                  <c:pt idx="0">
                    <c:v>Manuever Support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69FA-4601-B915-C5182518D7D9}"/>
            </c:ext>
          </c:extLst>
        </c:ser>
        <c:ser>
          <c:idx val="64"/>
          <c:order val="62"/>
          <c:tx>
            <c:v>63</c:v>
          </c:tx>
          <c:spPr>
            <a:solidFill>
              <a:schemeClr val="accent5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660486834239756"/>
                  <c:y val="-0.15601314896472759"/>
                </c:manualLayout>
              </c:layout>
              <c:tx>
                <c:rich>
                  <a:bodyPr/>
                  <a:lstStyle/>
                  <a:p>
                    <a:fld id="{AB0D9035-84CA-4B4C-B650-D9A943AC01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Matrix!$L$96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Matrix!$K$96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Matrix!$B$96</c15:f>
                <c15:dlblRangeCache>
                  <c:ptCount val="1"/>
                  <c:pt idx="0">
                    <c:v>Medical Department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69FA-4601-B915-C5182518D7D9}"/>
            </c:ext>
          </c:extLst>
        </c:ser>
        <c:ser>
          <c:idx val="65"/>
          <c:order val="63"/>
          <c:tx>
            <c:v>64</c:v>
          </c:tx>
          <c:spPr>
            <a:solidFill>
              <a:schemeClr val="accent6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8687478837383317"/>
                  <c:y val="-9.8230501200013656E-2"/>
                </c:manualLayout>
              </c:layout>
              <c:tx>
                <c:rich>
                  <a:bodyPr/>
                  <a:lstStyle/>
                  <a:p>
                    <a:fld id="{D6F400FE-787D-44C9-8125-F037D96A9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Matrix!$L$97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Matrix!$K$97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Matrix!$B$97</c15:f>
                <c15:dlblRangeCache>
                  <c:ptCount val="1"/>
                  <c:pt idx="0">
                    <c:v>Sustainment Center of Excellence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69FA-4601-B915-C5182518D7D9}"/>
            </c:ext>
          </c:extLst>
        </c:ser>
        <c:ser>
          <c:idx val="66"/>
          <c:order val="64"/>
          <c:tx>
            <c:v>65</c:v>
          </c:tx>
          <c:spPr>
            <a:solidFill>
              <a:schemeClr val="accent1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08699141790577"/>
                  <c:y val="-5.7782647764714055E-2"/>
                </c:manualLayout>
              </c:layout>
              <c:tx>
                <c:rich>
                  <a:bodyPr/>
                  <a:lstStyle/>
                  <a:p>
                    <a:fld id="{1735805D-FCAF-42C9-ABF8-3BD5AD725D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Matrix!$L$98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Matrix!$K$98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Matrix!$B$99</c15:f>
                <c15:dlblRangeCache>
                  <c:ptCount val="1"/>
                  <c:pt idx="0">
                    <c:v>Combined Arms Center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69FA-4601-B915-C5182518D7D9}"/>
            </c:ext>
          </c:extLst>
        </c:ser>
        <c:ser>
          <c:idx val="67"/>
          <c:order val="65"/>
          <c:tx>
            <c:v>66</c:v>
          </c:tx>
          <c:spPr>
            <a:solidFill>
              <a:schemeClr val="accent2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086991417905769"/>
                  <c:y val="-3.4669588658828417E-2"/>
                </c:manualLayout>
              </c:layout>
              <c:tx>
                <c:rich>
                  <a:bodyPr/>
                  <a:lstStyle/>
                  <a:p>
                    <a:fld id="{FEBC9027-F8FE-449D-AB9D-0645A3CC97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Matrix!$L$99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Matrix!$K$99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Matrix!$B$99</c15:f>
                <c15:dlblRangeCache>
                  <c:ptCount val="1"/>
                  <c:pt idx="0">
                    <c:v>Combined Arms Center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69FA-4601-B915-C5182518D7D9}"/>
            </c:ext>
          </c:extLst>
        </c:ser>
        <c:ser>
          <c:idx val="68"/>
          <c:order val="66"/>
          <c:tx>
            <c:v>67</c:v>
          </c:tx>
          <c:spPr>
            <a:solidFill>
              <a:schemeClr val="accent3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0965851374681778E-2"/>
                  <c:y val="9.2452236423542264E-2"/>
                </c:manualLayout>
              </c:layout>
              <c:tx>
                <c:rich>
                  <a:bodyPr/>
                  <a:lstStyle/>
                  <a:p>
                    <a:fld id="{2CF725D0-7FDE-44C0-84FA-EC69EBB31D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Matrix!$L$100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Matrix!$K$100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Matrix!$B$100</c15:f>
                <c15:dlblRangeCache>
                  <c:ptCount val="1"/>
                  <c:pt idx="0">
                    <c:v>Security Specialist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69FA-4601-B915-C5182518D7D9}"/>
            </c:ext>
          </c:extLst>
        </c:ser>
        <c:ser>
          <c:idx val="69"/>
          <c:order val="67"/>
          <c:tx>
            <c:v>68</c:v>
          </c:tx>
          <c:spPr>
            <a:solidFill>
              <a:schemeClr val="accent4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4943085624470411E-3"/>
                  <c:y val="-3.4669588658828417E-2"/>
                </c:manualLayout>
              </c:layout>
              <c:tx>
                <c:rich>
                  <a:bodyPr/>
                  <a:lstStyle/>
                  <a:p>
                    <a:fld id="{6C5106D9-43BE-47C3-8D20-989F94DF37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Matrix!$L$101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Matrix!$K$101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Matrix!$B$101</c15:f>
                <c15:dlblRangeCache>
                  <c:ptCount val="1"/>
                  <c:pt idx="0">
                    <c:v>Account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69FA-4601-B915-C5182518D7D9}"/>
            </c:ext>
          </c:extLst>
        </c:ser>
        <c:ser>
          <c:idx val="70"/>
          <c:order val="68"/>
          <c:tx>
            <c:v>69</c:v>
          </c:tx>
          <c:spPr>
            <a:solidFill>
              <a:schemeClr val="accent5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380325141397647E-2"/>
                  <c:y val="-4.044785343529974E-2"/>
                </c:manualLayout>
              </c:layout>
              <c:tx>
                <c:rich>
                  <a:bodyPr/>
                  <a:lstStyle/>
                  <a:p>
                    <a:fld id="{A13EA2C1-BB47-4271-9F4E-15A9D4BA14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Matrix!$L$102</c:f>
              <c:numCache>
                <c:formatCode>0</c:formatCode>
                <c:ptCount val="1"/>
                <c:pt idx="0">
                  <c:v>9</c:v>
                </c:pt>
              </c:numCache>
            </c:numRef>
          </c:xVal>
          <c:yVal>
            <c:numRef>
              <c:f>Matrix!$K$102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Matrix!$B$102</c15:f>
                <c15:dlblRangeCache>
                  <c:ptCount val="1"/>
                  <c:pt idx="0">
                    <c:v>Practical Application Analyst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69FA-4601-B915-C5182518D7D9}"/>
            </c:ext>
          </c:extLst>
        </c:ser>
        <c:ser>
          <c:idx val="71"/>
          <c:order val="69"/>
          <c:tx>
            <c:v>70</c:v>
          </c:tx>
          <c:spPr>
            <a:solidFill>
              <a:schemeClr val="accent6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210438970148693"/>
                  <c:y val="8.4747883388247069E-2"/>
                </c:manualLayout>
              </c:layout>
              <c:tx>
                <c:rich>
                  <a:bodyPr/>
                  <a:lstStyle/>
                  <a:p>
                    <a:fld id="{479966B8-EE1F-4EC5-8CF4-343A5F75D1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Matrix!$L$103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Matrix!$K$103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Matrix!$B$103</c15:f>
                <c15:dlblRangeCache>
                  <c:ptCount val="1"/>
                  <c:pt idx="0">
                    <c:v>Chief Information Officer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69FA-4601-B915-C5182518D7D9}"/>
            </c:ext>
          </c:extLst>
        </c:ser>
        <c:ser>
          <c:idx val="72"/>
          <c:order val="70"/>
          <c:tx>
            <c:v>71</c:v>
          </c:tx>
          <c:spPr>
            <a:solidFill>
              <a:schemeClr val="accent1">
                <a:lumMod val="8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3378535985853973"/>
                  <c:y val="6.3560912541185344E-2"/>
                </c:manualLayout>
              </c:layout>
              <c:tx>
                <c:rich>
                  <a:bodyPr/>
                  <a:lstStyle/>
                  <a:p>
                    <a:fld id="{51DEFCE9-0A34-4F40-B865-E5139110A8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Matrix!$L$104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Matrix!$K$104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Matrix!$B$104</c15:f>
                <c15:dlblRangeCache>
                  <c:ptCount val="1"/>
                  <c:pt idx="0">
                    <c:v>Chief Operations Officer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69FA-4601-B915-C5182518D7D9}"/>
            </c:ext>
          </c:extLst>
        </c:ser>
        <c:ser>
          <c:idx val="73"/>
          <c:order val="71"/>
          <c:tx>
            <c:v>72</c:v>
          </c:tx>
          <c:spPr>
            <a:solidFill>
              <a:schemeClr val="accent2">
                <a:lumMod val="8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4334145699129258"/>
                  <c:y val="4.044785343529974E-2"/>
                </c:manualLayout>
              </c:layout>
              <c:tx>
                <c:rich>
                  <a:bodyPr/>
                  <a:lstStyle/>
                  <a:p>
                    <a:fld id="{8FC241AC-E5F0-422E-83C7-E404213E6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Matrix!$L$105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Matrix!$K$105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Matrix!$B$105</c15:f>
                <c15:dlblRangeCache>
                  <c:ptCount val="1"/>
                  <c:pt idx="0">
                    <c:v>Chief Fires Officer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69FA-4601-B915-C5182518D7D9}"/>
            </c:ext>
          </c:extLst>
        </c:ser>
        <c:ser>
          <c:idx val="74"/>
          <c:order val="72"/>
          <c:tx>
            <c:v>73</c:v>
          </c:tx>
          <c:spPr>
            <a:solidFill>
              <a:schemeClr val="accent3">
                <a:lumMod val="8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4971218841312781"/>
                  <c:y val="1.7334794329414174E-2"/>
                </c:manualLayout>
              </c:layout>
              <c:tx>
                <c:rich>
                  <a:bodyPr/>
                  <a:lstStyle/>
                  <a:p>
                    <a:fld id="{154D1D18-0351-44A9-A1BD-37A70D970B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Matrix!$L$106</c:f>
              <c:numCache>
                <c:formatCode>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Matrix!$K$106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Matrix!$B$106</c15:f>
                <c15:dlblRangeCache>
                  <c:ptCount val="1"/>
                  <c:pt idx="0">
                    <c:v>Chief Intelligence Officer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69FA-4601-B915-C5182518D7D9}"/>
            </c:ext>
          </c:extLst>
        </c:ser>
        <c:ser>
          <c:idx val="75"/>
          <c:order val="73"/>
          <c:tx>
            <c:v>74</c:v>
          </c:tx>
          <c:spPr>
            <a:solidFill>
              <a:schemeClr val="accent4">
                <a:lumMod val="8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8746337038445958E-2"/>
                  <c:y val="-4.2373941694123535E-2"/>
                </c:manualLayout>
              </c:layout>
              <c:tx>
                <c:rich>
                  <a:bodyPr/>
                  <a:lstStyle/>
                  <a:p>
                    <a:fld id="{2F5CCC58-0705-4C79-9676-0CBA8421D1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Matrix!$L$107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Matrix!$K$107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Matrix!$B$107</c15:f>
                <c15:dlblRangeCache>
                  <c:ptCount val="1"/>
                  <c:pt idx="0">
                    <c:v>Contract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69FA-4601-B915-C5182518D7D9}"/>
            </c:ext>
          </c:extLst>
        </c:ser>
        <c:ser>
          <c:idx val="76"/>
          <c:order val="74"/>
          <c:tx>
            <c:v>75</c:v>
          </c:tx>
          <c:spPr>
            <a:solidFill>
              <a:schemeClr val="accent5">
                <a:lumMod val="8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980812560875181E-2"/>
                  <c:y val="-2.5039147364709361E-2"/>
                </c:manualLayout>
              </c:layout>
              <c:tx>
                <c:rich>
                  <a:bodyPr/>
                  <a:lstStyle/>
                  <a:p>
                    <a:fld id="{4668801E-C1A8-4B3E-877F-E43B78AEC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Matrix!$L$108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Matrix!$K$108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Matrix!$B$108</c15:f>
                <c15:dlblRangeCache>
                  <c:ptCount val="1"/>
                  <c:pt idx="0">
                    <c:v>Support Specialist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69FA-4601-B915-C5182518D7D9}"/>
            </c:ext>
          </c:extLst>
        </c:ser>
        <c:ser>
          <c:idx val="77"/>
          <c:order val="75"/>
          <c:tx>
            <c:v>76</c:v>
          </c:tx>
          <c:spPr>
            <a:solidFill>
              <a:schemeClr val="accent6">
                <a:lumMod val="8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7684548468140078E-2"/>
                  <c:y val="-5.778264776471532E-3"/>
                </c:manualLayout>
              </c:layout>
              <c:tx>
                <c:rich>
                  <a:bodyPr/>
                  <a:lstStyle/>
                  <a:p>
                    <a:fld id="{171A14B5-1DAA-46E0-9013-E21AB8E111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Matrix!$L$109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Matrix!$K$109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Matrix!$B$109</c15:f>
                <c15:dlblRangeCache>
                  <c:ptCount val="1"/>
                  <c:pt idx="0">
                    <c:v>Supply Specialist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69FA-4601-B915-C5182518D7D9}"/>
            </c:ext>
          </c:extLst>
        </c:ser>
        <c:ser>
          <c:idx val="78"/>
          <c:order val="76"/>
          <c:tx>
            <c:v>77</c:v>
          </c:tx>
          <c:spPr>
            <a:solidFill>
              <a:schemeClr val="accent1">
                <a:lumMod val="60000"/>
                <a:lumOff val="4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1892031987425748"/>
                  <c:y val="-1.1556529552942783E-2"/>
                </c:manualLayout>
              </c:layout>
              <c:tx>
                <c:rich>
                  <a:bodyPr/>
                  <a:lstStyle/>
                  <a:p>
                    <a:fld id="{9713F203-DF47-491B-BD65-6B912F74A2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Matrix!$L$110</c:f>
              <c:numCache>
                <c:formatCode>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Matrix!$K$110</c:f>
              <c:numCache>
                <c:formatCode>0</c:formatCode>
                <c:ptCount val="1"/>
                <c:pt idx="0">
                  <c:v>8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Matrix!$B$110</c15:f>
                <c15:dlblRangeCache>
                  <c:ptCount val="1"/>
                  <c:pt idx="0">
                    <c:v>Test Manager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69FA-4601-B915-C5182518D7D9}"/>
            </c:ext>
          </c:extLst>
        </c:ser>
        <c:ser>
          <c:idx val="79"/>
          <c:order val="77"/>
          <c:tx>
            <c:v>78</c:v>
          </c:tx>
          <c:spPr>
            <a:solidFill>
              <a:schemeClr val="accent2">
                <a:lumMod val="60000"/>
                <a:lumOff val="4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7684548468140092E-2"/>
                  <c:y val="1.348261781176658E-2"/>
                </c:manualLayout>
              </c:layout>
              <c:tx>
                <c:rich>
                  <a:bodyPr/>
                  <a:lstStyle/>
                  <a:p>
                    <a:fld id="{51A87AC7-9661-4380-9999-3DB0715953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Matrix!$L$111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Matrix!$K$111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Matrix!$B$111</c15:f>
                <c15:dlblRangeCache>
                  <c:ptCount val="1"/>
                  <c:pt idx="0">
                    <c:v>Technical Writer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69FA-4601-B915-C5182518D7D9}"/>
            </c:ext>
          </c:extLst>
        </c:ser>
        <c:ser>
          <c:idx val="80"/>
          <c:order val="78"/>
          <c:tx>
            <c:v>79</c:v>
          </c:tx>
          <c:spPr>
            <a:solidFill>
              <a:schemeClr val="accent3">
                <a:lumMod val="60000"/>
                <a:lumOff val="4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0173982835811691E-2"/>
                  <c:y val="3.2743500400004552E-2"/>
                </c:manualLayout>
              </c:layout>
              <c:tx>
                <c:rich>
                  <a:bodyPr/>
                  <a:lstStyle/>
                  <a:p>
                    <a:fld id="{F56DEF99-80A4-4831-B14C-1C4E9D13DA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Matrix!$L$112</c:f>
              <c:numCache>
                <c:formatCode>0</c:formatCode>
                <c:ptCount val="1"/>
                <c:pt idx="0">
                  <c:v>10</c:v>
                </c:pt>
              </c:numCache>
            </c:numRef>
          </c:xVal>
          <c:yVal>
            <c:numRef>
              <c:f>Matrix!$K$112</c:f>
              <c:numCache>
                <c:formatCode>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Matrix!$B$112</c15:f>
                <c15:dlblRangeCache>
                  <c:ptCount val="1"/>
                  <c:pt idx="0">
                    <c:v>Steering Committee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69FA-4601-B915-C5182518D7D9}"/>
            </c:ext>
          </c:extLst>
        </c:ser>
        <c:ser>
          <c:idx val="81"/>
          <c:order val="79"/>
          <c:tx>
            <c:v>80</c:v>
          </c:tx>
          <c:spPr>
            <a:solidFill>
              <a:schemeClr val="accent4">
                <a:lumMod val="60000"/>
                <a:lumOff val="4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4421137117034863E-2"/>
                  <c:y val="9.4378324682365913E-2"/>
                </c:manualLayout>
              </c:layout>
              <c:tx>
                <c:rich>
                  <a:bodyPr/>
                  <a:lstStyle/>
                  <a:p>
                    <a:fld id="{E95BB44E-D375-4099-A1ED-38FD6F3058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Matrix!$L$113</c:f>
              <c:numCache>
                <c:formatCode>0</c:formatCode>
                <c:ptCount val="1"/>
                <c:pt idx="0">
                  <c:v>9</c:v>
                </c:pt>
              </c:numCache>
            </c:numRef>
          </c:xVal>
          <c:yVal>
            <c:numRef>
              <c:f>Matrix!$K$113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Matrix!$B$113</c15:f>
                <c15:dlblRangeCache>
                  <c:ptCount val="1"/>
                  <c:pt idx="0">
                    <c:v>End Users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69FA-4601-B915-C5182518D7D9}"/>
            </c:ext>
          </c:extLst>
        </c:ser>
        <c:ser>
          <c:idx val="82"/>
          <c:order val="80"/>
          <c:tx>
            <c:v>81</c:v>
          </c:tx>
          <c:spPr>
            <a:solidFill>
              <a:schemeClr val="accent5">
                <a:lumMod val="60000"/>
                <a:lumOff val="4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2741462843670445E-2"/>
                  <c:y val="7.3191353835304285E-2"/>
                </c:manualLayout>
              </c:layout>
              <c:tx>
                <c:rich>
                  <a:bodyPr/>
                  <a:lstStyle/>
                  <a:p>
                    <a:fld id="{8C796821-EC7B-4026-B9AF-130EC7D7D3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Matrix!$L$114</c:f>
              <c:numCache>
                <c:formatCode>0</c:formatCode>
                <c:ptCount val="1"/>
                <c:pt idx="0">
                  <c:v>5</c:v>
                </c:pt>
              </c:numCache>
            </c:numRef>
          </c:xVal>
          <c:yVal>
            <c:numRef>
              <c:f>Matrix!$K$114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Matrix!$B$114</c15:f>
                <c15:dlblRangeCache>
                  <c:ptCount val="1"/>
                  <c:pt idx="0">
                    <c:v>Government Regulators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69FA-4601-B915-C5182518D7D9}"/>
            </c:ext>
          </c:extLst>
        </c:ser>
        <c:ser>
          <c:idx val="83"/>
          <c:order val="81"/>
          <c:tx>
            <c:v>82</c:v>
          </c:tx>
          <c:spPr>
            <a:solidFill>
              <a:schemeClr val="accent6">
                <a:lumMod val="60000"/>
                <a:lumOff val="4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3881297054163764E-2"/>
                  <c:y val="-3.4669588658828417E-2"/>
                </c:manualLayout>
              </c:layout>
              <c:tx>
                <c:rich>
                  <a:bodyPr/>
                  <a:lstStyle/>
                  <a:p>
                    <a:fld id="{D4CA88D6-FB91-417A-B3F5-0807AB962F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Matrix!$L$115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Matrix!$K$115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Matrix!$B$115</c15:f>
                <c15:dlblRangeCache>
                  <c:ptCount val="1"/>
                  <c:pt idx="0">
                    <c:v>DoD Vendors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69FA-4601-B915-C5182518D7D9}"/>
            </c:ext>
          </c:extLst>
        </c:ser>
        <c:ser>
          <c:idx val="84"/>
          <c:order val="82"/>
          <c:tx>
            <c:v>83</c:v>
          </c:tx>
          <c:spPr>
            <a:solidFill>
              <a:schemeClr val="accent1">
                <a:lumMod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8050405695199875E-2"/>
                  <c:y val="-5.5856559505890184E-2"/>
                </c:manualLayout>
              </c:layout>
              <c:tx>
                <c:rich>
                  <a:bodyPr/>
                  <a:lstStyle/>
                  <a:p>
                    <a:fld id="{3146E9A6-6897-4205-9A4F-EBC94C789D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Matrix!$L$116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Matrix!$K$116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Matrix!$B$116</c15:f>
                <c15:dlblRangeCache>
                  <c:ptCount val="1"/>
                  <c:pt idx="0">
                    <c:v>Main Stream Media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69FA-4601-B915-C5182518D7D9}"/>
            </c:ext>
          </c:extLst>
        </c:ser>
        <c:ser>
          <c:idx val="85"/>
          <c:order val="83"/>
          <c:tx>
            <c:v>84</c:v>
          </c:tx>
          <c:spPr>
            <a:solidFill>
              <a:schemeClr val="accent2">
                <a:lumMod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5.7336582796517002E-2"/>
                  <c:y val="-0.12326964856472308"/>
                </c:manualLayout>
              </c:layout>
              <c:tx>
                <c:rich>
                  <a:bodyPr/>
                  <a:lstStyle/>
                  <a:p>
                    <a:fld id="{4CDEB193-4B04-4089-86DA-80C29C35DD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Matrix!$L$117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Matrix!$K$117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Matrix!$B$117</c15:f>
                <c15:dlblRangeCache>
                  <c:ptCount val="1"/>
                  <c:pt idx="0">
                    <c:v>Social Media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6-69FA-4601-B915-C5182518D7D9}"/>
            </c:ext>
          </c:extLst>
        </c:ser>
        <c:ser>
          <c:idx val="86"/>
          <c:order val="84"/>
          <c:tx>
            <c:v>85</c:v>
          </c:tx>
          <c:spPr>
            <a:solidFill>
              <a:schemeClr val="accent3">
                <a:lumMod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6892679929269838E-2"/>
                  <c:y val="-0.14638270767060865"/>
                </c:manualLayout>
              </c:layout>
              <c:tx>
                <c:rich>
                  <a:bodyPr/>
                  <a:lstStyle/>
                  <a:p>
                    <a:fld id="{4C4D1653-3DFC-471C-9AEA-8718CD68DA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Matrix!$L$118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Matrix!$K$118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Matrix!$B$118</c15:f>
                <c15:dlblRangeCache>
                  <c:ptCount val="1"/>
                  <c:pt idx="0">
                    <c:v>Military Social Media Influencers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69FA-4601-B915-C5182518D7D9}"/>
            </c:ext>
          </c:extLst>
        </c:ser>
        <c:ser>
          <c:idx val="87"/>
          <c:order val="85"/>
          <c:tx>
            <c:v>86</c:v>
          </c:tx>
          <c:spPr>
            <a:solidFill>
              <a:schemeClr val="accent4">
                <a:lumMod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7066662765081335E-2"/>
                  <c:y val="-3.4669588658828417E-2"/>
                </c:manualLayout>
              </c:layout>
              <c:tx>
                <c:rich>
                  <a:bodyPr/>
                  <a:lstStyle/>
                  <a:p>
                    <a:fld id="{F2B360EC-E978-449C-80A5-DA529E6D1C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Matrix!$L$119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Matrix!$K$119</c:f>
              <c:numCache>
                <c:formatCode>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Matrix!$B$119</c15:f>
                <c15:dlblRangeCache>
                  <c:ptCount val="1"/>
                  <c:pt idx="0">
                    <c:v>Foreign Militariy Partners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69FA-4601-B915-C5182518D7D9}"/>
            </c:ext>
          </c:extLst>
        </c:ser>
        <c:ser>
          <c:idx val="88"/>
          <c:order val="86"/>
          <c:tx>
            <c:v>87</c:v>
          </c:tx>
          <c:spPr>
            <a:solidFill>
              <a:schemeClr val="accent5">
                <a:lumMod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1313817046304896E-2"/>
                  <c:y val="-3.0817412141180753E-2"/>
                </c:manualLayout>
              </c:layout>
              <c:tx>
                <c:rich>
                  <a:bodyPr/>
                  <a:lstStyle/>
                  <a:p>
                    <a:fld id="{F6F8E2E3-9195-4915-854C-C8A61FE37B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Matrix!$L$120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Matrix!$K$120</c:f>
              <c:numCache>
                <c:formatCode>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Matrix!$B$120</c15:f>
                <c15:dlblRangeCache>
                  <c:ptCount val="1"/>
                  <c:pt idx="0">
                    <c:v>NATO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69FA-4601-B915-C5182518D7D9}"/>
            </c:ext>
          </c:extLst>
        </c:ser>
        <c:ser>
          <c:idx val="89"/>
          <c:order val="87"/>
          <c:tx>
            <c:v>88</c:v>
          </c:tx>
          <c:spPr>
            <a:solidFill>
              <a:schemeClr val="accent6">
                <a:lumMod val="5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3359348546729147E-2"/>
                  <c:y val="6.1634824282361507E-2"/>
                </c:manualLayout>
              </c:layout>
              <c:tx>
                <c:rich>
                  <a:bodyPr/>
                  <a:lstStyle/>
                  <a:p>
                    <a:fld id="{CEC8588F-FF97-4A2E-A0B1-8CE6BCE209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Matrix!$L$121</c:f>
              <c:numCache>
                <c:formatCode>0</c:formatCode>
                <c:ptCount val="1"/>
                <c:pt idx="0">
                  <c:v>10</c:v>
                </c:pt>
              </c:numCache>
            </c:numRef>
          </c:xVal>
          <c:yVal>
            <c:numRef>
              <c:f>Matrix!$K$121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Matrix!$B$121</c15:f>
                <c15:dlblRangeCache>
                  <c:ptCount val="1"/>
                  <c:pt idx="0">
                    <c:v>Foreign Military Adversaries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A-69FA-4601-B915-C5182518D7D9}"/>
            </c:ext>
          </c:extLst>
        </c:ser>
        <c:ser>
          <c:idx val="90"/>
          <c:order val="88"/>
          <c:tx>
            <c:v>89</c:v>
          </c:tx>
          <c:spPr>
            <a:solidFill>
              <a:schemeClr val="accent1">
                <a:lumMod val="70000"/>
                <a:lumOff val="3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1235771406117408E-3"/>
                  <c:y val="4.430002995294733E-2"/>
                </c:manualLayout>
              </c:layout>
              <c:tx>
                <c:rich>
                  <a:bodyPr/>
                  <a:lstStyle/>
                  <a:p>
                    <a:fld id="{861ECD2D-EF03-40F3-9422-96B1A91815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Matrix!$L$122</c:f>
              <c:numCache>
                <c:formatCode>0</c:formatCode>
                <c:ptCount val="1"/>
                <c:pt idx="0">
                  <c:v>5</c:v>
                </c:pt>
              </c:numCache>
            </c:numRef>
          </c:xVal>
          <c:yVal>
            <c:numRef>
              <c:f>Matrix!$K$122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Matrix!$B$122</c15:f>
                <c15:dlblRangeCache>
                  <c:ptCount val="1"/>
                  <c:pt idx="0">
                    <c:v>Foreign Main Stream Media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69FA-4601-B915-C5182518D7D9}"/>
            </c:ext>
          </c:extLst>
        </c:ser>
        <c:ser>
          <c:idx val="91"/>
          <c:order val="89"/>
          <c:tx>
            <c:v>90</c:v>
          </c:tx>
          <c:spPr>
            <a:solidFill>
              <a:schemeClr val="accent2">
                <a:lumMod val="70000"/>
                <a:lumOff val="3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1892031987425748"/>
                  <c:y val="0"/>
                </c:manualLayout>
              </c:layout>
              <c:tx>
                <c:rich>
                  <a:bodyPr/>
                  <a:lstStyle/>
                  <a:p>
                    <a:fld id="{05D62739-3813-4A0E-BC7F-A96F3EAA8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Matrix!$L$123</c:f>
              <c:numCache>
                <c:formatCode>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Matrix!$K$123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Matrix!$B$123</c15:f>
                <c15:dlblRangeCache>
                  <c:ptCount val="1"/>
                  <c:pt idx="0">
                    <c:v>Infantry Instructors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C-69FA-4601-B915-C5182518D7D9}"/>
            </c:ext>
          </c:extLst>
        </c:ser>
        <c:ser>
          <c:idx val="92"/>
          <c:order val="90"/>
          <c:tx>
            <c:v>91</c:v>
          </c:tx>
          <c:spPr>
            <a:solidFill>
              <a:schemeClr val="accent3">
                <a:lumMod val="70000"/>
                <a:lumOff val="3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8128451335387242E-2"/>
                  <c:y val="-4.6226118211771132E-2"/>
                </c:manualLayout>
              </c:layout>
              <c:tx>
                <c:rich>
                  <a:bodyPr/>
                  <a:lstStyle/>
                  <a:p>
                    <a:fld id="{16CEC7D9-2E84-4837-AB63-E77142782C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Matrix!$L$124</c:f>
              <c:numCache>
                <c:formatCode>0</c:formatCode>
                <c:ptCount val="1"/>
                <c:pt idx="0">
                  <c:v>4</c:v>
                </c:pt>
              </c:numCache>
            </c:numRef>
          </c:xVal>
          <c:yVal>
            <c:numRef>
              <c:f>Matrix!$K$124</c:f>
              <c:numCache>
                <c:formatCode>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Matrix!$B$124</c15:f>
                <c15:dlblRangeCache>
                  <c:ptCount val="1"/>
                  <c:pt idx="0">
                    <c:v>Military Times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69FA-4601-B915-C5182518D7D9}"/>
            </c:ext>
          </c:extLst>
        </c:ser>
        <c:ser>
          <c:idx val="93"/>
          <c:order val="91"/>
          <c:tx>
            <c:v>92</c:v>
          </c:tx>
          <c:spPr>
            <a:solidFill>
              <a:schemeClr val="accent4">
                <a:lumMod val="70000"/>
                <a:lumOff val="3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8.4943085624469547E-2"/>
                  <c:y val="0.16179141374119882"/>
                </c:manualLayout>
              </c:layout>
              <c:tx>
                <c:rich>
                  <a:bodyPr/>
                  <a:lstStyle/>
                  <a:p>
                    <a:fld id="{821EE381-7729-4D48-89AC-0220C54100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Matrix!$L$125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Matrix!$K$125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Matrix!$B$125</c15:f>
                <c15:dlblRangeCache>
                  <c:ptCount val="1"/>
                  <c:pt idx="0">
                    <c:v>Marine Corps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E-69FA-4601-B915-C5182518D7D9}"/>
            </c:ext>
          </c:extLst>
        </c:ser>
        <c:ser>
          <c:idx val="94"/>
          <c:order val="92"/>
          <c:tx>
            <c:v>93</c:v>
          </c:tx>
          <c:spPr>
            <a:solidFill>
              <a:schemeClr val="accent5">
                <a:lumMod val="70000"/>
                <a:lumOff val="3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237560561661072E-2"/>
                  <c:y val="0.13867835463531339"/>
                </c:manualLayout>
              </c:layout>
              <c:tx>
                <c:rich>
                  <a:bodyPr/>
                  <a:lstStyle/>
                  <a:p>
                    <a:fld id="{E1A99BFD-CA85-4CA5-9DED-031D635BF3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Matrix!$L$126</c:f>
              <c:numCache>
                <c:formatCode>0</c:formatCode>
                <c:ptCount val="1"/>
                <c:pt idx="0">
                  <c:v>3</c:v>
                </c:pt>
              </c:numCache>
            </c:numRef>
          </c:xVal>
          <c:yVal>
            <c:numRef>
              <c:f>Matrix!$K$126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Matrix!$B$126</c15:f>
                <c15:dlblRangeCache>
                  <c:ptCount val="1"/>
                  <c:pt idx="0">
                    <c:v>Air Force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F-69FA-4601-B915-C5182518D7D9}"/>
            </c:ext>
          </c:extLst>
        </c:ser>
        <c:ser>
          <c:idx val="95"/>
          <c:order val="93"/>
          <c:tx>
            <c:v>94</c:v>
          </c:tx>
          <c:spPr>
            <a:solidFill>
              <a:schemeClr val="accent6">
                <a:lumMod val="70000"/>
                <a:lumOff val="3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7.751056563232854E-2"/>
                  <c:y val="-1.5408706070590517E-2"/>
                </c:manualLayout>
              </c:layout>
              <c:tx>
                <c:rich>
                  <a:bodyPr/>
                  <a:lstStyle/>
                  <a:p>
                    <a:fld id="{FF1F2940-BC25-4E6F-8ED9-647D744C36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Matrix!$L$127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Matrix!$K$127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Matrix!$B$127</c15:f>
                <c15:dlblRangeCache>
                  <c:ptCount val="1"/>
                  <c:pt idx="0">
                    <c:v>Navy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0-69FA-4601-B915-C5182518D7D9}"/>
            </c:ext>
          </c:extLst>
        </c:ser>
        <c:ser>
          <c:idx val="96"/>
          <c:order val="94"/>
          <c:tx>
            <c:v>95</c:v>
          </c:tx>
          <c:spPr>
            <a:solidFill>
              <a:schemeClr val="accent1">
                <a:lumMod val="7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9190239905693122E-2"/>
                  <c:y val="-3.8521765176476014E-2"/>
                </c:manualLayout>
              </c:layout>
              <c:tx>
                <c:rich>
                  <a:bodyPr/>
                  <a:lstStyle/>
                  <a:p>
                    <a:fld id="{24C9FCA3-D9FF-4EF4-BF8F-9E7747B483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Matrix!$L$128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Matrix!$K$128</c:f>
              <c:numCache>
                <c:formatCode>0</c:formatCode>
                <c:ptCount val="1"/>
                <c:pt idx="0">
                  <c:v>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Matrix!$B$128</c15:f>
                <c15:dlblRangeCache>
                  <c:ptCount val="1"/>
                  <c:pt idx="0">
                    <c:v>Space Force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69FA-4601-B915-C5182518D7D9}"/>
            </c:ext>
          </c:extLst>
        </c:ser>
        <c:ser>
          <c:idx val="97"/>
          <c:order val="95"/>
          <c:tx>
            <c:v>96</c:v>
          </c:tx>
          <c:spPr>
            <a:solidFill>
              <a:schemeClr val="accent2">
                <a:lumMod val="7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7780485663764166E-2"/>
                  <c:y val="-5.778264776471532E-3"/>
                </c:manualLayout>
              </c:layout>
              <c:tx>
                <c:rich>
                  <a:bodyPr/>
                  <a:lstStyle/>
                  <a:p>
                    <a:fld id="{BDFFF671-44C4-45EB-8F1A-F00E303F2B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768-46F6-BA7E-F9E890A27C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Matrix!$L$129</c:f>
              <c:numCache>
                <c:formatCode>0</c:formatCode>
                <c:ptCount val="1"/>
                <c:pt idx="0">
                  <c:v>2</c:v>
                </c:pt>
              </c:numCache>
            </c:numRef>
          </c:xVal>
          <c:yVal>
            <c:numRef>
              <c:f>Matrix!$K$129</c:f>
              <c:numCache>
                <c:formatCode>0</c:formatCode>
                <c:ptCount val="1"/>
                <c:pt idx="0">
                  <c:v>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Matrix!$B$129</c15:f>
                <c15:dlblRangeCache>
                  <c:ptCount val="1"/>
                  <c:pt idx="0">
                    <c:v>CIA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2-69FA-4601-B915-C5182518D7D9}"/>
            </c:ext>
          </c:extLst>
        </c:ser>
        <c:ser>
          <c:idx val="98"/>
          <c:order val="96"/>
          <c:tx>
            <c:v>97</c:v>
          </c:tx>
          <c:spPr>
            <a:solidFill>
              <a:schemeClr val="accent3">
                <a:lumMod val="7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193170274936356"/>
                  <c:y val="7.3191353835304146E-2"/>
                </c:manualLayout>
              </c:layout>
              <c:tx>
                <c:rich>
                  <a:bodyPr/>
                  <a:lstStyle/>
                  <a:p>
                    <a:fld id="{1E8B5541-FABD-437F-9286-1331908FA4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Matrix!$L$130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Matrix!$K$130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Matrix!$B$130</c15:f>
                <c15:dlblRangeCache>
                  <c:ptCount val="1"/>
                  <c:pt idx="0">
                    <c:v>Paramilitary Contracting Companies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3-69FA-4601-B915-C5182518D7D9}"/>
            </c:ext>
          </c:extLst>
        </c:ser>
        <c:ser>
          <c:idx val="57"/>
          <c:order val="97"/>
          <c:tx>
            <c:v>98</c:v>
          </c:tx>
          <c:spPr>
            <a:solidFill>
              <a:schemeClr val="accent4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9808125608751838E-2"/>
                  <c:y val="1.9260882588237971E-3"/>
                </c:manualLayout>
              </c:layout>
              <c:tx>
                <c:rich>
                  <a:bodyPr/>
                  <a:lstStyle/>
                  <a:p>
                    <a:fld id="{A2F83E7A-ED1B-4D65-AA12-7135A8C635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142-408E-A539-E0225DF51B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Matrix!$L$131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Matrix!$K$131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Matrix!$B$131</c15:f>
                <c15:dlblRangeCache>
                  <c:ptCount val="1"/>
                  <c:pt idx="0">
                    <c:v>Federal Reserve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69FA-4601-B915-C5182518D7D9}"/>
            </c:ext>
          </c:extLst>
        </c:ser>
        <c:ser>
          <c:idx val="56"/>
          <c:order val="98"/>
          <c:tx>
            <c:v>99</c:v>
          </c:tx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8050405695199796E-2"/>
                  <c:y val="-5.970873602353771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71B2738-9E2E-4707-973A-2D6736BBF4E1}" type="CELLRANGE">
                      <a:rPr lang="en-US"/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69FA-4601-B915-C5182518D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Matrix!$L$132</c:f>
              <c:numCache>
                <c:formatCode>0</c:formatCode>
                <c:ptCount val="1"/>
                <c:pt idx="0">
                  <c:v>9</c:v>
                </c:pt>
              </c:numCache>
            </c:numRef>
          </c:xVal>
          <c:yVal>
            <c:numRef>
              <c:f>Matrix!$K$132</c:f>
              <c:numCache>
                <c:formatCode>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5="http://schemas.microsoft.com/office/drawing/2012/chart" uri="{02D57815-91ED-43cb-92C2-25804820EDAC}">
              <c15:datalabelsRange>
                <c15:f>Matrix!$B$132</c15:f>
                <c15:dlblRangeCache>
                  <c:ptCount val="1"/>
                  <c:pt idx="0">
                    <c:v>Subject Matter Experts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69FA-4601-B915-C5182518D7D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bubbleScale val="12"/>
        <c:showNegBubbles val="1"/>
        <c:sizeRepresents val="w"/>
        <c:axId val="183654064"/>
        <c:axId val="183654624"/>
      </c:bubbleChart>
      <c:valAx>
        <c:axId val="183654064"/>
        <c:scaling>
          <c:orientation val="minMax"/>
          <c:max val="10"/>
          <c:min val="0"/>
        </c:scaling>
        <c:delete val="1"/>
        <c:axPos val="b"/>
        <c:numFmt formatCode="0" sourceLinked="1"/>
        <c:majorTickMark val="out"/>
        <c:minorTickMark val="none"/>
        <c:tickLblPos val="nextTo"/>
        <c:crossAx val="183654624"/>
        <c:crosses val="autoZero"/>
        <c:crossBetween val="midCat"/>
        <c:majorUnit val="1"/>
        <c:minorUnit val="1"/>
      </c:valAx>
      <c:valAx>
        <c:axId val="183654624"/>
        <c:scaling>
          <c:orientation val="minMax"/>
          <c:max val="10"/>
          <c:min val="0"/>
        </c:scaling>
        <c:delete val="1"/>
        <c:axPos val="l"/>
        <c:numFmt formatCode="0" sourceLinked="1"/>
        <c:majorTickMark val="out"/>
        <c:minorTickMark val="none"/>
        <c:tickLblPos val="nextTo"/>
        <c:crossAx val="183654064"/>
        <c:crossesAt val="0"/>
        <c:crossBetween val="midCat"/>
        <c:majorUnit val="1"/>
        <c:minorUnit val="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9171</xdr:colOff>
      <xdr:row>3</xdr:row>
      <xdr:rowOff>2394</xdr:rowOff>
    </xdr:from>
    <xdr:to>
      <xdr:col>12</xdr:col>
      <xdr:colOff>776917</xdr:colOff>
      <xdr:row>26</xdr:row>
      <xdr:rowOff>187325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79385" y="723573"/>
          <a:ext cx="10605711" cy="6158466"/>
          <a:chOff x="884060" y="712611"/>
          <a:chExt cx="10879847" cy="6981825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84060" y="712611"/>
            <a:ext cx="5429406" cy="346943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chemeClr val="accent1">
                    <a:lumMod val="60000"/>
                    <a:lumOff val="40000"/>
                  </a:schemeClr>
                </a:solidFill>
              </a:rPr>
              <a:t>MEET</a:t>
            </a:r>
            <a:r>
              <a:rPr lang="pt-BR" sz="2400" baseline="0">
                <a:solidFill>
                  <a:schemeClr val="accent1">
                    <a:lumMod val="60000"/>
                    <a:lumOff val="40000"/>
                  </a:schemeClr>
                </a:solidFill>
              </a:rPr>
              <a:t> THEIR NEEDS</a:t>
            </a:r>
            <a:endParaRPr lang="pt-BR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84060" y="4220226"/>
            <a:ext cx="5429406" cy="3474210"/>
          </a:xfrm>
          <a:prstGeom prst="rect">
            <a:avLst/>
          </a:prstGeom>
          <a:solidFill>
            <a:srgbClr val="9C45DF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rgbClr val="9C45DF"/>
                </a:solidFill>
              </a:rPr>
              <a:t>LEAST</a:t>
            </a:r>
            <a:r>
              <a:rPr lang="pt-BR" sz="2400" baseline="0">
                <a:solidFill>
                  <a:srgbClr val="9C45DF"/>
                </a:solidFill>
              </a:rPr>
              <a:t> IMPORTANT</a:t>
            </a:r>
            <a:endParaRPr lang="pt-BR" sz="2400">
              <a:solidFill>
                <a:srgbClr val="9C45DF"/>
              </a:solidFill>
            </a:endParaRPr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6334501" y="4220226"/>
            <a:ext cx="5429406" cy="347421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chemeClr val="accent6">
                    <a:lumMod val="60000"/>
                    <a:lumOff val="40000"/>
                  </a:schemeClr>
                </a:solidFill>
              </a:rPr>
              <a:t>SHOW CONSIDERATION</a:t>
            </a:r>
            <a:endParaRPr lang="pt-BR">
              <a:solidFill>
                <a:schemeClr val="accent6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6334501" y="712611"/>
            <a:ext cx="5429406" cy="346943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chemeClr val="accent2">
                    <a:lumMod val="60000"/>
                    <a:lumOff val="40000"/>
                  </a:schemeClr>
                </a:solidFill>
              </a:rPr>
              <a:t>KEY PLAYER</a:t>
            </a:r>
          </a:p>
        </xdr:txBody>
      </xdr:sp>
    </xdr:grpSp>
    <xdr:clientData/>
  </xdr:twoCellAnchor>
  <xdr:twoCellAnchor>
    <xdr:from>
      <xdr:col>0</xdr:col>
      <xdr:colOff>0</xdr:colOff>
      <xdr:row>2</xdr:row>
      <xdr:rowOff>97536</xdr:rowOff>
    </xdr:from>
    <xdr:to>
      <xdr:col>12</xdr:col>
      <xdr:colOff>940525</xdr:colOff>
      <xdr:row>27</xdr:row>
      <xdr:rowOff>385661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V133"/>
  <sheetViews>
    <sheetView tabSelected="1" zoomScale="70" zoomScaleNormal="70" workbookViewId="0">
      <selection activeCell="W33" sqref="W33"/>
    </sheetView>
  </sheetViews>
  <sheetFormatPr defaultColWidth="10.77734375" defaultRowHeight="15"/>
  <cols>
    <col min="1" max="1" width="6.88671875" style="2" customWidth="1"/>
    <col min="2" max="2" width="6.88671875" style="12" customWidth="1"/>
    <col min="3" max="3" width="10.77734375" style="2"/>
    <col min="4" max="4" width="10.77734375" style="12"/>
    <col min="5" max="5" width="10.21875" style="2" customWidth="1"/>
    <col min="6" max="6" width="10.77734375" style="12"/>
    <col min="7" max="7" width="9.44140625" style="2" customWidth="1"/>
    <col min="8" max="8" width="10.77734375" style="12"/>
    <col min="9" max="9" width="15.109375" style="2" customWidth="1"/>
    <col min="10" max="10" width="13.5546875" style="12" customWidth="1"/>
    <col min="11" max="11" width="10.77734375" style="32"/>
    <col min="12" max="12" width="12.5546875" style="32" customWidth="1"/>
    <col min="13" max="13" width="12.21875" style="8" bestFit="1" customWidth="1"/>
    <col min="14" max="14" width="3" style="19" customWidth="1"/>
    <col min="15" max="15" width="10.6640625" style="18" customWidth="1"/>
    <col min="16" max="16" width="10.6640625" style="2" customWidth="1"/>
    <col min="17" max="17" width="18.44140625" style="2" customWidth="1"/>
    <col min="18" max="18" width="14.77734375" style="2" customWidth="1"/>
    <col min="19" max="16384" width="10.77734375" style="2"/>
  </cols>
  <sheetData>
    <row r="1" spans="1:22" ht="15.95" customHeight="1">
      <c r="A1" s="74" t="s">
        <v>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6" t="s">
        <v>132</v>
      </c>
      <c r="P1" s="76"/>
      <c r="Q1" s="76"/>
      <c r="R1" s="76"/>
    </row>
    <row r="2" spans="1:22" ht="26.1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7"/>
      <c r="P2" s="77"/>
      <c r="Q2" s="77"/>
      <c r="R2" s="77"/>
    </row>
    <row r="3" spans="1:22" ht="15" customHeight="1">
      <c r="B3" s="10"/>
      <c r="C3" s="1"/>
      <c r="D3" s="10"/>
      <c r="E3" s="1"/>
      <c r="F3" s="10"/>
      <c r="G3" s="1"/>
      <c r="H3" s="10"/>
      <c r="I3" s="1"/>
      <c r="J3" s="10"/>
      <c r="K3" s="28"/>
      <c r="L3" s="28"/>
      <c r="M3" s="9"/>
    </row>
    <row r="4" spans="1:22" ht="15.75">
      <c r="B4" s="25" t="s">
        <v>11</v>
      </c>
      <c r="C4" s="1"/>
      <c r="D4" s="10"/>
      <c r="E4" s="1"/>
      <c r="F4" s="10"/>
      <c r="G4" s="1"/>
      <c r="H4" s="10"/>
      <c r="I4" s="1"/>
      <c r="J4" s="10"/>
      <c r="K4" s="28"/>
      <c r="L4" s="28"/>
      <c r="M4" s="9"/>
      <c r="Q4" s="40" t="s">
        <v>30</v>
      </c>
      <c r="R4" s="40"/>
      <c r="S4" s="40"/>
      <c r="T4" s="40"/>
      <c r="U4" s="40"/>
      <c r="V4" s="40"/>
    </row>
    <row r="5" spans="1:22" ht="15.75">
      <c r="B5" s="73" t="s">
        <v>10</v>
      </c>
      <c r="C5" s="1"/>
      <c r="D5" s="10"/>
      <c r="E5" s="1"/>
      <c r="F5" s="10"/>
      <c r="G5" s="1"/>
      <c r="H5" s="10"/>
      <c r="I5" s="1"/>
      <c r="J5" s="10"/>
      <c r="K5" s="28"/>
      <c r="L5" s="28"/>
      <c r="M5" s="9"/>
      <c r="N5" s="24"/>
      <c r="Q5" s="21" t="s">
        <v>22</v>
      </c>
      <c r="R5" s="37" t="s">
        <v>23</v>
      </c>
      <c r="S5" s="37"/>
      <c r="T5" s="37"/>
    </row>
    <row r="6" spans="1:22" ht="15.75">
      <c r="B6" s="73"/>
      <c r="C6" s="1"/>
      <c r="D6" s="10"/>
      <c r="E6" s="1"/>
      <c r="F6" s="10"/>
      <c r="G6" s="1"/>
      <c r="H6" s="10"/>
      <c r="I6" s="1"/>
      <c r="J6" s="10"/>
      <c r="K6" s="28"/>
      <c r="L6" s="28"/>
      <c r="M6" s="9"/>
      <c r="N6" s="24"/>
      <c r="Q6" s="21" t="s">
        <v>25</v>
      </c>
      <c r="R6" s="37" t="s">
        <v>24</v>
      </c>
      <c r="S6" s="37"/>
      <c r="T6" s="37"/>
    </row>
    <row r="7" spans="1:22" ht="15.75">
      <c r="B7" s="73"/>
      <c r="C7" s="1"/>
      <c r="D7" s="10"/>
      <c r="E7" s="1"/>
      <c r="F7" s="10"/>
      <c r="G7" s="1"/>
      <c r="H7" s="10"/>
      <c r="I7" s="1"/>
      <c r="J7" s="10"/>
      <c r="K7" s="28"/>
      <c r="L7" s="28"/>
      <c r="M7" s="9"/>
      <c r="N7" s="24"/>
      <c r="Q7" s="21" t="s">
        <v>21</v>
      </c>
      <c r="R7" s="37" t="s">
        <v>26</v>
      </c>
      <c r="S7" s="37"/>
      <c r="T7" s="37"/>
    </row>
    <row r="8" spans="1:22" ht="15.75">
      <c r="B8" s="73"/>
      <c r="C8" s="1"/>
      <c r="D8" s="10"/>
      <c r="E8" s="1"/>
      <c r="F8" s="10"/>
      <c r="G8" s="1"/>
      <c r="H8" s="10"/>
      <c r="I8" s="1"/>
      <c r="J8" s="10"/>
      <c r="K8" s="28"/>
      <c r="L8" s="28"/>
      <c r="M8" s="9"/>
      <c r="N8" s="24"/>
      <c r="Q8" s="21" t="s">
        <v>27</v>
      </c>
      <c r="R8" s="37" t="s">
        <v>29</v>
      </c>
      <c r="S8" s="37"/>
      <c r="T8" s="37"/>
    </row>
    <row r="9" spans="1:22" ht="128.1" customHeight="1">
      <c r="B9" s="73"/>
      <c r="C9" s="1"/>
      <c r="D9" s="10"/>
      <c r="E9" s="1"/>
      <c r="F9" s="10"/>
      <c r="G9" s="1"/>
      <c r="H9" s="10"/>
      <c r="I9" s="1"/>
      <c r="J9" s="10"/>
      <c r="K9" s="28"/>
      <c r="L9" s="28"/>
      <c r="M9" s="9"/>
      <c r="N9" s="24"/>
      <c r="Q9" s="22" t="s">
        <v>133</v>
      </c>
      <c r="R9" s="70" t="s">
        <v>28</v>
      </c>
      <c r="S9" s="70"/>
      <c r="T9" s="70"/>
      <c r="U9" s="70"/>
      <c r="V9" s="70"/>
    </row>
    <row r="10" spans="1:22" ht="15.95" customHeight="1">
      <c r="B10" s="73"/>
      <c r="C10" s="1"/>
      <c r="D10" s="10"/>
      <c r="E10" s="1"/>
      <c r="F10" s="10"/>
      <c r="G10" s="1"/>
      <c r="H10" s="10"/>
      <c r="I10" s="1"/>
      <c r="J10" s="10"/>
      <c r="K10" s="28"/>
      <c r="L10" s="28"/>
      <c r="M10" s="9"/>
      <c r="Q10" s="43" t="s">
        <v>4</v>
      </c>
      <c r="R10" s="43"/>
      <c r="S10" s="43"/>
      <c r="T10" s="43"/>
      <c r="U10" s="6"/>
    </row>
    <row r="11" spans="1:22" ht="15.95" customHeight="1">
      <c r="B11" s="73"/>
      <c r="C11" s="1"/>
      <c r="D11" s="10"/>
      <c r="E11" s="1"/>
      <c r="F11" s="10"/>
      <c r="G11" s="1"/>
      <c r="H11" s="10"/>
      <c r="I11" s="1"/>
      <c r="J11" s="10"/>
      <c r="K11" s="28"/>
      <c r="L11" s="28"/>
      <c r="M11" s="9"/>
      <c r="Q11" s="71" t="s">
        <v>31</v>
      </c>
      <c r="R11" s="71"/>
      <c r="S11" s="71"/>
      <c r="T11" s="71"/>
      <c r="U11" s="7"/>
    </row>
    <row r="12" spans="1:22">
      <c r="B12" s="73"/>
      <c r="C12" s="1"/>
      <c r="D12" s="10"/>
      <c r="E12" s="1"/>
      <c r="F12" s="10"/>
      <c r="G12" s="1"/>
      <c r="H12" s="10"/>
      <c r="I12" s="1"/>
      <c r="J12" s="10"/>
      <c r="K12" s="28"/>
      <c r="L12" s="28"/>
      <c r="M12" s="9"/>
      <c r="Q12" s="72"/>
      <c r="R12" s="72"/>
      <c r="S12" s="72"/>
      <c r="T12" s="72"/>
      <c r="U12" s="7"/>
    </row>
    <row r="13" spans="1:22">
      <c r="B13" s="73"/>
      <c r="C13" s="1"/>
      <c r="D13" s="10"/>
      <c r="E13" s="1"/>
      <c r="F13" s="10"/>
      <c r="G13" s="1"/>
      <c r="H13" s="10"/>
      <c r="I13" s="1"/>
      <c r="J13" s="10"/>
      <c r="K13" s="28"/>
      <c r="L13" s="28"/>
      <c r="M13" s="9"/>
      <c r="Q13" s="72"/>
      <c r="R13" s="72"/>
      <c r="S13" s="72"/>
      <c r="T13" s="72"/>
      <c r="U13" s="7"/>
    </row>
    <row r="14" spans="1:22">
      <c r="B14" s="73"/>
      <c r="C14" s="1"/>
      <c r="D14" s="10"/>
      <c r="E14" s="1"/>
      <c r="F14" s="10"/>
      <c r="G14" s="1"/>
      <c r="H14" s="10"/>
      <c r="I14" s="1"/>
      <c r="J14" s="10"/>
      <c r="K14" s="28"/>
      <c r="L14" s="28"/>
      <c r="M14" s="9"/>
      <c r="Q14" s="72"/>
      <c r="R14" s="72"/>
      <c r="S14" s="72"/>
      <c r="T14" s="72"/>
      <c r="U14" s="7"/>
    </row>
    <row r="15" spans="1:22">
      <c r="B15" s="73"/>
      <c r="C15" s="1"/>
      <c r="D15" s="10"/>
      <c r="E15" s="1"/>
      <c r="F15" s="10"/>
      <c r="G15" s="1"/>
      <c r="H15" s="10"/>
      <c r="I15" s="1"/>
      <c r="J15" s="10"/>
      <c r="K15" s="28"/>
      <c r="L15" s="28"/>
      <c r="M15" s="9"/>
      <c r="Q15" s="72"/>
      <c r="R15" s="72"/>
      <c r="S15" s="72"/>
      <c r="T15" s="72"/>
      <c r="U15" s="7"/>
    </row>
    <row r="16" spans="1:22">
      <c r="B16" s="73"/>
      <c r="C16" s="1"/>
      <c r="D16" s="10"/>
      <c r="E16" s="1"/>
      <c r="F16" s="10"/>
      <c r="G16" s="1"/>
      <c r="H16" s="10"/>
      <c r="I16" s="1"/>
      <c r="J16" s="10"/>
      <c r="K16" s="28"/>
      <c r="L16" s="28"/>
      <c r="M16" s="9"/>
      <c r="Q16" s="72"/>
      <c r="R16" s="72"/>
      <c r="S16" s="72"/>
      <c r="T16" s="72"/>
      <c r="U16" s="7"/>
    </row>
    <row r="17" spans="1:20">
      <c r="B17" s="73"/>
      <c r="C17" s="1"/>
      <c r="D17" s="10"/>
      <c r="E17" s="1"/>
      <c r="F17" s="10"/>
      <c r="G17" s="1"/>
      <c r="H17" s="10"/>
      <c r="I17" s="1"/>
      <c r="J17" s="10"/>
      <c r="K17" s="28"/>
      <c r="L17" s="28"/>
      <c r="M17" s="9"/>
      <c r="Q17" s="72"/>
      <c r="R17" s="72"/>
      <c r="S17" s="72"/>
      <c r="T17" s="72"/>
    </row>
    <row r="18" spans="1:20">
      <c r="B18" s="73"/>
      <c r="C18" s="1"/>
      <c r="D18" s="10"/>
      <c r="E18" s="1"/>
      <c r="F18" s="10"/>
      <c r="G18" s="1"/>
      <c r="H18" s="10"/>
      <c r="I18" s="1"/>
      <c r="J18" s="10"/>
      <c r="K18" s="28"/>
      <c r="L18" s="28"/>
      <c r="M18" s="9"/>
      <c r="Q18" s="42"/>
      <c r="R18" s="42"/>
      <c r="S18" s="42"/>
      <c r="T18" s="42"/>
    </row>
    <row r="19" spans="1:20">
      <c r="B19" s="73"/>
      <c r="C19" s="1"/>
      <c r="D19" s="10"/>
      <c r="E19" s="1"/>
      <c r="F19" s="10"/>
      <c r="G19" s="1"/>
      <c r="H19" s="10"/>
      <c r="I19" s="1"/>
      <c r="J19" s="10"/>
      <c r="K19" s="28"/>
      <c r="L19" s="28"/>
      <c r="M19" s="9"/>
      <c r="Q19" s="42"/>
      <c r="R19" s="42"/>
      <c r="S19" s="42"/>
      <c r="T19" s="42"/>
    </row>
    <row r="20" spans="1:20">
      <c r="B20" s="73"/>
      <c r="C20" s="1"/>
      <c r="D20" s="10"/>
      <c r="E20" s="1"/>
      <c r="F20" s="10"/>
      <c r="G20" s="1"/>
      <c r="H20" s="10"/>
      <c r="I20" s="1"/>
      <c r="J20" s="10"/>
      <c r="K20" s="28"/>
      <c r="L20" s="28"/>
      <c r="M20" s="9"/>
      <c r="Q20" s="42"/>
      <c r="R20" s="42"/>
      <c r="S20" s="42"/>
      <c r="T20" s="42"/>
    </row>
    <row r="21" spans="1:20" ht="15.75">
      <c r="B21" s="73"/>
      <c r="C21" s="1"/>
      <c r="D21" s="10"/>
      <c r="E21" s="1"/>
      <c r="F21" s="10"/>
      <c r="G21" s="1"/>
      <c r="H21" s="10"/>
      <c r="I21" s="1"/>
      <c r="J21" s="10"/>
      <c r="K21" s="28"/>
      <c r="L21" s="28"/>
      <c r="M21" s="9"/>
      <c r="Q21" s="33">
        <f>COUNTIFS(K34:K132,"&gt;5",L34:L132,"&gt;5")</f>
        <v>25</v>
      </c>
      <c r="R21" s="2" t="s">
        <v>18</v>
      </c>
    </row>
    <row r="22" spans="1:20" ht="15.75">
      <c r="B22" s="73"/>
      <c r="C22" s="1"/>
      <c r="D22" s="10"/>
      <c r="E22" s="1"/>
      <c r="F22" s="10"/>
      <c r="G22" s="1"/>
      <c r="H22" s="10"/>
      <c r="I22" s="1"/>
      <c r="J22" s="10"/>
      <c r="K22" s="28"/>
      <c r="L22" s="28"/>
      <c r="M22" s="9"/>
      <c r="Q22" s="34">
        <f>COUNTIFS(K34:K132,"&gt;5",L34:L132,"&lt;5")</f>
        <v>9</v>
      </c>
      <c r="R22" s="2" t="s">
        <v>17</v>
      </c>
    </row>
    <row r="23" spans="1:20" ht="15.75">
      <c r="B23" s="73"/>
      <c r="C23" s="1"/>
      <c r="D23" s="10"/>
      <c r="E23" s="1"/>
      <c r="F23" s="10"/>
      <c r="G23" s="1"/>
      <c r="H23" s="10"/>
      <c r="I23" s="1"/>
      <c r="J23" s="10"/>
      <c r="K23" s="28"/>
      <c r="L23" s="28"/>
      <c r="M23" s="9"/>
      <c r="Q23" s="44">
        <f>COUNTIFS(K34:K132,"=5",L34:L132,"=5")</f>
        <v>2</v>
      </c>
      <c r="R23" s="2" t="s">
        <v>32</v>
      </c>
    </row>
    <row r="24" spans="1:20" ht="15.75">
      <c r="B24" s="73"/>
      <c r="C24" s="1"/>
      <c r="D24" s="10"/>
      <c r="E24" s="1"/>
      <c r="F24" s="10"/>
      <c r="G24" s="1"/>
      <c r="H24" s="10"/>
      <c r="I24" s="1"/>
      <c r="J24" s="10"/>
      <c r="K24" s="28"/>
      <c r="L24" s="28"/>
      <c r="M24" s="9"/>
      <c r="Q24" s="36">
        <f>COUNTIFS(K34:K132,"&lt;5",L34:L132,"&gt;5")</f>
        <v>7</v>
      </c>
      <c r="R24" s="2" t="s">
        <v>20</v>
      </c>
    </row>
    <row r="25" spans="1:20" ht="15.75">
      <c r="B25" s="73"/>
      <c r="C25" s="1"/>
      <c r="D25" s="10"/>
      <c r="E25" s="1"/>
      <c r="F25" s="10"/>
      <c r="G25" s="1"/>
      <c r="H25" s="10"/>
      <c r="I25" s="1"/>
      <c r="J25" s="10"/>
      <c r="K25" s="28"/>
      <c r="L25" s="28"/>
      <c r="M25" s="9"/>
      <c r="Q25" s="35">
        <f>COUNTIFS(K34:K132,"&lt;5",L34:L132,"&lt;5")</f>
        <v>43</v>
      </c>
      <c r="R25" s="2" t="s">
        <v>19</v>
      </c>
    </row>
    <row r="26" spans="1:20">
      <c r="B26" s="73"/>
      <c r="C26" s="1"/>
      <c r="D26" s="10"/>
      <c r="E26" s="1"/>
      <c r="F26" s="10"/>
      <c r="G26" s="1"/>
      <c r="H26" s="10"/>
      <c r="I26" s="1"/>
      <c r="J26" s="10"/>
      <c r="K26" s="28"/>
      <c r="L26" s="28"/>
      <c r="M26" s="9"/>
      <c r="S26" s="18"/>
    </row>
    <row r="27" spans="1:20">
      <c r="B27" s="25" t="s">
        <v>12</v>
      </c>
      <c r="C27" s="1"/>
      <c r="D27" s="10"/>
      <c r="E27" s="1"/>
      <c r="F27" s="10"/>
      <c r="G27" s="1"/>
      <c r="H27" s="10"/>
      <c r="I27" s="1"/>
      <c r="J27" s="10"/>
      <c r="K27" s="28"/>
      <c r="L27" s="28"/>
      <c r="M27" s="9"/>
      <c r="S27" s="18"/>
    </row>
    <row r="28" spans="1:20" ht="48.95" customHeight="1">
      <c r="B28" s="26"/>
      <c r="C28" s="26" t="s">
        <v>12</v>
      </c>
      <c r="D28" s="78" t="s">
        <v>8</v>
      </c>
      <c r="E28" s="78"/>
      <c r="F28" s="78"/>
      <c r="G28" s="78"/>
      <c r="H28" s="78"/>
      <c r="I28" s="78"/>
      <c r="J28" s="78"/>
      <c r="K28" s="78"/>
      <c r="L28" s="78"/>
      <c r="M28" s="27" t="s">
        <v>11</v>
      </c>
      <c r="P28" s="4"/>
      <c r="Q28" s="4"/>
      <c r="R28" s="4"/>
    </row>
    <row r="29" spans="1:20" ht="19.149999999999999" customHeight="1">
      <c r="S29" s="39">
        <f>COUNTA($B$34:$B$132)</f>
        <v>99</v>
      </c>
    </row>
    <row r="30" spans="1:20">
      <c r="C30" s="3"/>
      <c r="D30" s="11"/>
      <c r="E30" s="3"/>
      <c r="F30" s="11"/>
      <c r="G30" s="3"/>
      <c r="H30" s="11"/>
      <c r="I30" s="3"/>
      <c r="J30" s="11"/>
      <c r="K30" s="29"/>
      <c r="L30" s="79" t="s">
        <v>6</v>
      </c>
      <c r="M30" s="79"/>
      <c r="N30" s="41">
        <f>S29</f>
        <v>99</v>
      </c>
      <c r="O30" s="41"/>
      <c r="P30" s="80" t="s">
        <v>7</v>
      </c>
      <c r="Q30" s="80"/>
      <c r="R30" s="38">
        <f>($N$30*($N$30-1))/2</f>
        <v>4851</v>
      </c>
    </row>
    <row r="32" spans="1:20" s="5" customFormat="1" ht="15.75">
      <c r="A32" s="2"/>
      <c r="B32" s="12"/>
      <c r="C32" s="2"/>
      <c r="D32" s="12"/>
      <c r="E32" s="2"/>
      <c r="F32" s="12"/>
      <c r="G32" s="2"/>
      <c r="H32" s="12"/>
      <c r="I32" s="4"/>
      <c r="J32" s="12"/>
      <c r="K32" s="30" t="s">
        <v>2</v>
      </c>
      <c r="L32" s="30" t="s">
        <v>3</v>
      </c>
      <c r="M32" s="8"/>
      <c r="N32" s="19"/>
      <c r="O32" s="18"/>
      <c r="P32" s="2"/>
      <c r="Q32" s="2"/>
      <c r="R32" s="2"/>
    </row>
    <row r="33" spans="1:18" ht="15.75">
      <c r="A33" s="47"/>
      <c r="B33" s="53" t="s">
        <v>9</v>
      </c>
      <c r="C33" s="53"/>
      <c r="D33" s="53"/>
      <c r="E33" s="53"/>
      <c r="F33" s="53"/>
      <c r="G33" s="53"/>
      <c r="H33" s="53"/>
      <c r="I33" s="53"/>
      <c r="J33" s="47" t="s">
        <v>16</v>
      </c>
      <c r="K33" s="48" t="s">
        <v>13</v>
      </c>
      <c r="L33" s="48" t="s">
        <v>14</v>
      </c>
      <c r="M33" s="54" t="s">
        <v>15</v>
      </c>
      <c r="N33" s="54"/>
      <c r="O33" s="54"/>
      <c r="P33" s="54"/>
      <c r="Q33" s="54"/>
      <c r="R33" s="54"/>
    </row>
    <row r="34" spans="1:18" ht="15.75" customHeight="1">
      <c r="A34" s="49">
        <v>1</v>
      </c>
      <c r="B34" s="58" t="s">
        <v>33</v>
      </c>
      <c r="C34" s="59"/>
      <c r="D34" s="59"/>
      <c r="E34" s="59"/>
      <c r="F34" s="59"/>
      <c r="G34" s="59"/>
      <c r="H34" s="59"/>
      <c r="I34" s="60"/>
      <c r="J34" s="50" t="s">
        <v>133</v>
      </c>
      <c r="K34" s="51">
        <v>7</v>
      </c>
      <c r="L34" s="51">
        <v>7</v>
      </c>
      <c r="M34" s="55"/>
      <c r="N34" s="56"/>
      <c r="O34" s="56"/>
      <c r="P34" s="56"/>
      <c r="Q34" s="56"/>
      <c r="R34" s="57"/>
    </row>
    <row r="35" spans="1:18" ht="15.75" customHeight="1">
      <c r="A35" s="45">
        <v>2</v>
      </c>
      <c r="B35" s="61" t="s">
        <v>34</v>
      </c>
      <c r="C35" s="62"/>
      <c r="D35" s="62"/>
      <c r="E35" s="62"/>
      <c r="F35" s="62"/>
      <c r="G35" s="62"/>
      <c r="H35" s="62"/>
      <c r="I35" s="63"/>
      <c r="J35" s="46" t="s">
        <v>133</v>
      </c>
      <c r="K35" s="52">
        <v>2</v>
      </c>
      <c r="L35" s="52">
        <v>7</v>
      </c>
      <c r="M35" s="67"/>
      <c r="N35" s="68"/>
      <c r="O35" s="68"/>
      <c r="P35" s="68"/>
      <c r="Q35" s="68"/>
      <c r="R35" s="69"/>
    </row>
    <row r="36" spans="1:18" ht="15.75" customHeight="1">
      <c r="A36" s="49">
        <v>3</v>
      </c>
      <c r="B36" s="64" t="s">
        <v>35</v>
      </c>
      <c r="C36" s="65"/>
      <c r="D36" s="65"/>
      <c r="E36" s="65"/>
      <c r="F36" s="65"/>
      <c r="G36" s="65"/>
      <c r="H36" s="65"/>
      <c r="I36" s="66"/>
      <c r="J36" s="50" t="s">
        <v>133</v>
      </c>
      <c r="K36" s="51">
        <v>6</v>
      </c>
      <c r="L36" s="51">
        <v>6</v>
      </c>
      <c r="M36" s="55"/>
      <c r="N36" s="56"/>
      <c r="O36" s="56"/>
      <c r="P36" s="56"/>
      <c r="Q36" s="56"/>
      <c r="R36" s="57"/>
    </row>
    <row r="37" spans="1:18" ht="15.75" customHeight="1">
      <c r="A37" s="45">
        <v>4</v>
      </c>
      <c r="B37" s="61" t="s">
        <v>36</v>
      </c>
      <c r="C37" s="62"/>
      <c r="D37" s="62"/>
      <c r="E37" s="62"/>
      <c r="F37" s="62"/>
      <c r="G37" s="62"/>
      <c r="H37" s="62"/>
      <c r="I37" s="63"/>
      <c r="J37" s="46" t="s">
        <v>133</v>
      </c>
      <c r="K37" s="52">
        <v>6</v>
      </c>
      <c r="L37" s="52">
        <v>7</v>
      </c>
      <c r="M37" s="67"/>
      <c r="N37" s="68"/>
      <c r="O37" s="68"/>
      <c r="P37" s="68"/>
      <c r="Q37" s="68"/>
      <c r="R37" s="69"/>
    </row>
    <row r="38" spans="1:18" ht="15.75" customHeight="1">
      <c r="A38" s="49">
        <v>5</v>
      </c>
      <c r="B38" s="64" t="s">
        <v>37</v>
      </c>
      <c r="C38" s="65"/>
      <c r="D38" s="65"/>
      <c r="E38" s="65"/>
      <c r="F38" s="65"/>
      <c r="G38" s="65"/>
      <c r="H38" s="65"/>
      <c r="I38" s="66"/>
      <c r="J38" s="50" t="s">
        <v>27</v>
      </c>
      <c r="K38" s="51">
        <v>2</v>
      </c>
      <c r="L38" s="51">
        <v>2</v>
      </c>
      <c r="M38" s="55"/>
      <c r="N38" s="56"/>
      <c r="O38" s="56"/>
      <c r="P38" s="56"/>
      <c r="Q38" s="56"/>
      <c r="R38" s="57"/>
    </row>
    <row r="39" spans="1:18" ht="15.75" customHeight="1">
      <c r="A39" s="45">
        <v>6</v>
      </c>
      <c r="B39" s="61" t="s">
        <v>38</v>
      </c>
      <c r="C39" s="62"/>
      <c r="D39" s="62"/>
      <c r="E39" s="62"/>
      <c r="F39" s="62"/>
      <c r="G39" s="62"/>
      <c r="H39" s="62"/>
      <c r="I39" s="63"/>
      <c r="J39" s="46" t="s">
        <v>133</v>
      </c>
      <c r="K39" s="52">
        <v>4</v>
      </c>
      <c r="L39" s="52">
        <v>4</v>
      </c>
      <c r="M39" s="67"/>
      <c r="N39" s="68"/>
      <c r="O39" s="68"/>
      <c r="P39" s="68"/>
      <c r="Q39" s="68"/>
      <c r="R39" s="69"/>
    </row>
    <row r="40" spans="1:18" ht="15.75" customHeight="1">
      <c r="A40" s="49">
        <v>7</v>
      </c>
      <c r="B40" s="64" t="s">
        <v>39</v>
      </c>
      <c r="C40" s="65"/>
      <c r="D40" s="65"/>
      <c r="E40" s="65"/>
      <c r="F40" s="65"/>
      <c r="G40" s="65"/>
      <c r="H40" s="65"/>
      <c r="I40" s="66"/>
      <c r="J40" s="50" t="s">
        <v>133</v>
      </c>
      <c r="K40" s="51">
        <v>4</v>
      </c>
      <c r="L40" s="51">
        <v>4</v>
      </c>
      <c r="M40" s="55"/>
      <c r="N40" s="56"/>
      <c r="O40" s="56"/>
      <c r="P40" s="56"/>
      <c r="Q40" s="56"/>
      <c r="R40" s="57"/>
    </row>
    <row r="41" spans="1:18" ht="15.75" customHeight="1">
      <c r="A41" s="45">
        <v>8</v>
      </c>
      <c r="B41" s="61" t="s">
        <v>40</v>
      </c>
      <c r="C41" s="62"/>
      <c r="D41" s="62"/>
      <c r="E41" s="62"/>
      <c r="F41" s="62"/>
      <c r="G41" s="62"/>
      <c r="H41" s="62"/>
      <c r="I41" s="63"/>
      <c r="J41" s="46" t="s">
        <v>21</v>
      </c>
      <c r="K41" s="52">
        <v>2</v>
      </c>
      <c r="L41" s="52">
        <v>2</v>
      </c>
      <c r="M41" s="67"/>
      <c r="N41" s="68"/>
      <c r="O41" s="68"/>
      <c r="P41" s="68"/>
      <c r="Q41" s="68"/>
      <c r="R41" s="69"/>
    </row>
    <row r="42" spans="1:18" ht="15.75" customHeight="1">
      <c r="A42" s="49">
        <v>9</v>
      </c>
      <c r="B42" s="64" t="s">
        <v>41</v>
      </c>
      <c r="C42" s="65"/>
      <c r="D42" s="65"/>
      <c r="E42" s="65"/>
      <c r="F42" s="65"/>
      <c r="G42" s="65"/>
      <c r="H42" s="65"/>
      <c r="I42" s="66"/>
      <c r="J42" s="50" t="s">
        <v>21</v>
      </c>
      <c r="K42" s="51">
        <v>2</v>
      </c>
      <c r="L42" s="51">
        <v>2</v>
      </c>
      <c r="M42" s="55"/>
      <c r="N42" s="56"/>
      <c r="O42" s="56"/>
      <c r="P42" s="56"/>
      <c r="Q42" s="56"/>
      <c r="R42" s="57"/>
    </row>
    <row r="43" spans="1:18" ht="15.75" customHeight="1">
      <c r="A43" s="45">
        <v>10</v>
      </c>
      <c r="B43" s="61" t="s">
        <v>42</v>
      </c>
      <c r="C43" s="62"/>
      <c r="D43" s="62"/>
      <c r="E43" s="62"/>
      <c r="F43" s="62"/>
      <c r="G43" s="62"/>
      <c r="H43" s="62"/>
      <c r="I43" s="63"/>
      <c r="J43" s="46" t="s">
        <v>21</v>
      </c>
      <c r="K43" s="52">
        <v>2</v>
      </c>
      <c r="L43" s="52">
        <v>2</v>
      </c>
      <c r="M43" s="67"/>
      <c r="N43" s="68"/>
      <c r="O43" s="68"/>
      <c r="P43" s="68"/>
      <c r="Q43" s="68"/>
      <c r="R43" s="69"/>
    </row>
    <row r="44" spans="1:18" ht="15.75" customHeight="1">
      <c r="A44" s="49">
        <v>11</v>
      </c>
      <c r="B44" s="64" t="s">
        <v>43</v>
      </c>
      <c r="C44" s="65"/>
      <c r="D44" s="65"/>
      <c r="E44" s="65"/>
      <c r="F44" s="65"/>
      <c r="G44" s="65"/>
      <c r="H44" s="65"/>
      <c r="I44" s="66"/>
      <c r="J44" s="50" t="s">
        <v>21</v>
      </c>
      <c r="K44" s="51">
        <v>2</v>
      </c>
      <c r="L44" s="51">
        <v>2</v>
      </c>
      <c r="M44" s="55"/>
      <c r="N44" s="56"/>
      <c r="O44" s="56"/>
      <c r="P44" s="56"/>
      <c r="Q44" s="56"/>
      <c r="R44" s="57"/>
    </row>
    <row r="45" spans="1:18" ht="15.75" customHeight="1">
      <c r="A45" s="45">
        <v>12</v>
      </c>
      <c r="B45" s="61" t="s">
        <v>44</v>
      </c>
      <c r="C45" s="62"/>
      <c r="D45" s="62"/>
      <c r="E45" s="62"/>
      <c r="F45" s="62"/>
      <c r="G45" s="62"/>
      <c r="H45" s="62"/>
      <c r="I45" s="63"/>
      <c r="J45" s="46" t="s">
        <v>133</v>
      </c>
      <c r="K45" s="52">
        <v>9</v>
      </c>
      <c r="L45" s="52">
        <v>10</v>
      </c>
      <c r="M45" s="67"/>
      <c r="N45" s="68"/>
      <c r="O45" s="68"/>
      <c r="P45" s="68"/>
      <c r="Q45" s="68"/>
      <c r="R45" s="69"/>
    </row>
    <row r="46" spans="1:18" ht="15.75" customHeight="1">
      <c r="A46" s="49">
        <v>13</v>
      </c>
      <c r="B46" s="64" t="s">
        <v>45</v>
      </c>
      <c r="C46" s="65"/>
      <c r="D46" s="65"/>
      <c r="E46" s="65"/>
      <c r="F46" s="65"/>
      <c r="G46" s="65"/>
      <c r="H46" s="65"/>
      <c r="I46" s="66"/>
      <c r="J46" s="50" t="s">
        <v>27</v>
      </c>
      <c r="K46" s="51">
        <v>8</v>
      </c>
      <c r="L46" s="51">
        <v>8</v>
      </c>
      <c r="M46" s="55"/>
      <c r="N46" s="56"/>
      <c r="O46" s="56"/>
      <c r="P46" s="56"/>
      <c r="Q46" s="56"/>
      <c r="R46" s="57"/>
    </row>
    <row r="47" spans="1:18" ht="15.75" customHeight="1">
      <c r="A47" s="45">
        <v>14</v>
      </c>
      <c r="B47" s="61" t="s">
        <v>46</v>
      </c>
      <c r="C47" s="62"/>
      <c r="D47" s="62"/>
      <c r="E47" s="62"/>
      <c r="F47" s="62"/>
      <c r="G47" s="62"/>
      <c r="H47" s="62"/>
      <c r="I47" s="63"/>
      <c r="J47" s="46" t="s">
        <v>21</v>
      </c>
      <c r="K47" s="52">
        <v>1</v>
      </c>
      <c r="L47" s="52">
        <v>1</v>
      </c>
      <c r="M47" s="67"/>
      <c r="N47" s="68"/>
      <c r="O47" s="68"/>
      <c r="P47" s="68"/>
      <c r="Q47" s="68"/>
      <c r="R47" s="69"/>
    </row>
    <row r="48" spans="1:18" ht="15.75" customHeight="1">
      <c r="A48" s="49">
        <v>15</v>
      </c>
      <c r="B48" s="64" t="s">
        <v>47</v>
      </c>
      <c r="C48" s="65"/>
      <c r="D48" s="65"/>
      <c r="E48" s="65"/>
      <c r="F48" s="65"/>
      <c r="G48" s="65"/>
      <c r="H48" s="65"/>
      <c r="I48" s="66"/>
      <c r="J48" s="50" t="s">
        <v>21</v>
      </c>
      <c r="K48" s="51">
        <v>1</v>
      </c>
      <c r="L48" s="51">
        <v>1</v>
      </c>
      <c r="M48" s="55"/>
      <c r="N48" s="56"/>
      <c r="O48" s="56"/>
      <c r="P48" s="56"/>
      <c r="Q48" s="56"/>
      <c r="R48" s="57"/>
    </row>
    <row r="49" spans="1:18" ht="15.75" customHeight="1">
      <c r="A49" s="45">
        <v>16</v>
      </c>
      <c r="B49" s="61" t="s">
        <v>48</v>
      </c>
      <c r="C49" s="62"/>
      <c r="D49" s="62"/>
      <c r="E49" s="62"/>
      <c r="F49" s="62"/>
      <c r="G49" s="62"/>
      <c r="H49" s="62"/>
      <c r="I49" s="63"/>
      <c r="J49" s="46" t="s">
        <v>27</v>
      </c>
      <c r="K49" s="52">
        <v>3</v>
      </c>
      <c r="L49" s="52">
        <v>5</v>
      </c>
      <c r="M49" s="67"/>
      <c r="N49" s="68"/>
      <c r="O49" s="68"/>
      <c r="P49" s="68"/>
      <c r="Q49" s="68"/>
      <c r="R49" s="69"/>
    </row>
    <row r="50" spans="1:18" ht="15.75" customHeight="1">
      <c r="A50" s="49">
        <v>17</v>
      </c>
      <c r="B50" s="64" t="s">
        <v>49</v>
      </c>
      <c r="C50" s="65"/>
      <c r="D50" s="65"/>
      <c r="E50" s="65"/>
      <c r="F50" s="65"/>
      <c r="G50" s="65"/>
      <c r="H50" s="65"/>
      <c r="I50" s="66"/>
      <c r="J50" s="50" t="s">
        <v>21</v>
      </c>
      <c r="K50" s="51">
        <v>5</v>
      </c>
      <c r="L50" s="51">
        <v>5</v>
      </c>
      <c r="M50" s="55"/>
      <c r="N50" s="56"/>
      <c r="O50" s="56"/>
      <c r="P50" s="56"/>
      <c r="Q50" s="56"/>
      <c r="R50" s="57"/>
    </row>
    <row r="51" spans="1:18" ht="15.75" customHeight="1">
      <c r="A51" s="45">
        <v>18</v>
      </c>
      <c r="B51" s="61" t="s">
        <v>50</v>
      </c>
      <c r="C51" s="62"/>
      <c r="D51" s="62"/>
      <c r="E51" s="62"/>
      <c r="F51" s="62"/>
      <c r="G51" s="62"/>
      <c r="H51" s="62"/>
      <c r="I51" s="63"/>
      <c r="J51" s="46" t="s">
        <v>21</v>
      </c>
      <c r="K51" s="52">
        <v>3</v>
      </c>
      <c r="L51" s="52">
        <v>1</v>
      </c>
      <c r="M51" s="67"/>
      <c r="N51" s="68"/>
      <c r="O51" s="68"/>
      <c r="P51" s="68"/>
      <c r="Q51" s="68"/>
      <c r="R51" s="69"/>
    </row>
    <row r="52" spans="1:18" ht="15.75" customHeight="1">
      <c r="A52" s="49">
        <v>19</v>
      </c>
      <c r="B52" s="64" t="s">
        <v>51</v>
      </c>
      <c r="C52" s="65"/>
      <c r="D52" s="65"/>
      <c r="E52" s="65"/>
      <c r="F52" s="65"/>
      <c r="G52" s="65"/>
      <c r="H52" s="65"/>
      <c r="I52" s="66"/>
      <c r="J52" s="50" t="s">
        <v>21</v>
      </c>
      <c r="K52" s="51">
        <v>3</v>
      </c>
      <c r="L52" s="51">
        <v>1</v>
      </c>
      <c r="M52" s="55"/>
      <c r="N52" s="56"/>
      <c r="O52" s="56"/>
      <c r="P52" s="56"/>
      <c r="Q52" s="56"/>
      <c r="R52" s="57"/>
    </row>
    <row r="53" spans="1:18" ht="15.75" customHeight="1">
      <c r="A53" s="45">
        <v>20</v>
      </c>
      <c r="B53" s="61" t="s">
        <v>52</v>
      </c>
      <c r="C53" s="62"/>
      <c r="D53" s="62"/>
      <c r="E53" s="62"/>
      <c r="F53" s="62"/>
      <c r="G53" s="62"/>
      <c r="H53" s="62"/>
      <c r="I53" s="63"/>
      <c r="J53" s="46" t="s">
        <v>21</v>
      </c>
      <c r="K53" s="52">
        <v>3</v>
      </c>
      <c r="L53" s="52">
        <v>2</v>
      </c>
      <c r="M53" s="67"/>
      <c r="N53" s="68"/>
      <c r="O53" s="68"/>
      <c r="P53" s="68"/>
      <c r="Q53" s="68"/>
      <c r="R53" s="69"/>
    </row>
    <row r="54" spans="1:18" ht="15.75" customHeight="1">
      <c r="A54" s="49">
        <v>21</v>
      </c>
      <c r="B54" s="64" t="s">
        <v>53</v>
      </c>
      <c r="C54" s="65"/>
      <c r="D54" s="65"/>
      <c r="E54" s="65"/>
      <c r="F54" s="65"/>
      <c r="G54" s="65"/>
      <c r="H54" s="65"/>
      <c r="I54" s="66"/>
      <c r="J54" s="50" t="s">
        <v>21</v>
      </c>
      <c r="K54" s="51">
        <v>3</v>
      </c>
      <c r="L54" s="51">
        <v>2</v>
      </c>
      <c r="M54" s="55"/>
      <c r="N54" s="56"/>
      <c r="O54" s="56"/>
      <c r="P54" s="56"/>
      <c r="Q54" s="56"/>
      <c r="R54" s="57"/>
    </row>
    <row r="55" spans="1:18" ht="15.75" customHeight="1">
      <c r="A55" s="45">
        <v>22</v>
      </c>
      <c r="B55" s="61" t="s">
        <v>54</v>
      </c>
      <c r="C55" s="62"/>
      <c r="D55" s="62"/>
      <c r="E55" s="62"/>
      <c r="F55" s="62"/>
      <c r="G55" s="62"/>
      <c r="H55" s="62"/>
      <c r="I55" s="63"/>
      <c r="J55" s="46" t="s">
        <v>21</v>
      </c>
      <c r="K55" s="52">
        <v>3</v>
      </c>
      <c r="L55" s="52">
        <v>2</v>
      </c>
      <c r="M55" s="67"/>
      <c r="N55" s="68"/>
      <c r="O55" s="68"/>
      <c r="P55" s="68"/>
      <c r="Q55" s="68"/>
      <c r="R55" s="69"/>
    </row>
    <row r="56" spans="1:18" ht="15.75" customHeight="1">
      <c r="A56" s="49">
        <v>23</v>
      </c>
      <c r="B56" s="64" t="s">
        <v>55</v>
      </c>
      <c r="C56" s="65"/>
      <c r="D56" s="65"/>
      <c r="E56" s="65"/>
      <c r="F56" s="65"/>
      <c r="G56" s="65"/>
      <c r="H56" s="65"/>
      <c r="I56" s="66"/>
      <c r="J56" s="50" t="s">
        <v>21</v>
      </c>
      <c r="K56" s="51">
        <v>3</v>
      </c>
      <c r="L56" s="51">
        <v>2</v>
      </c>
      <c r="M56" s="55"/>
      <c r="N56" s="56"/>
      <c r="O56" s="56"/>
      <c r="P56" s="56"/>
      <c r="Q56" s="56"/>
      <c r="R56" s="57"/>
    </row>
    <row r="57" spans="1:18" ht="15.75" customHeight="1">
      <c r="A57" s="45">
        <v>24</v>
      </c>
      <c r="B57" s="61" t="s">
        <v>56</v>
      </c>
      <c r="C57" s="62"/>
      <c r="D57" s="62"/>
      <c r="E57" s="62"/>
      <c r="F57" s="62"/>
      <c r="G57" s="62"/>
      <c r="H57" s="62"/>
      <c r="I57" s="63"/>
      <c r="J57" s="46" t="s">
        <v>21</v>
      </c>
      <c r="K57" s="52">
        <v>2</v>
      </c>
      <c r="L57" s="52">
        <v>1</v>
      </c>
      <c r="M57" s="67"/>
      <c r="N57" s="68"/>
      <c r="O57" s="68"/>
      <c r="P57" s="68"/>
      <c r="Q57" s="68"/>
      <c r="R57" s="69"/>
    </row>
    <row r="58" spans="1:18" ht="15.75" customHeight="1">
      <c r="A58" s="49">
        <v>25</v>
      </c>
      <c r="B58" s="64" t="s">
        <v>57</v>
      </c>
      <c r="C58" s="65"/>
      <c r="D58" s="65"/>
      <c r="E58" s="65"/>
      <c r="F58" s="65"/>
      <c r="G58" s="65"/>
      <c r="H58" s="65"/>
      <c r="I58" s="66"/>
      <c r="J58" s="50" t="s">
        <v>21</v>
      </c>
      <c r="K58" s="51">
        <v>2</v>
      </c>
      <c r="L58" s="51">
        <v>1</v>
      </c>
      <c r="M58" s="55"/>
      <c r="N58" s="56"/>
      <c r="O58" s="56"/>
      <c r="P58" s="56"/>
      <c r="Q58" s="56"/>
      <c r="R58" s="57"/>
    </row>
    <row r="59" spans="1:18" ht="15.75" customHeight="1">
      <c r="A59" s="45">
        <v>26</v>
      </c>
      <c r="B59" s="61" t="s">
        <v>58</v>
      </c>
      <c r="C59" s="62"/>
      <c r="D59" s="62"/>
      <c r="E59" s="62"/>
      <c r="F59" s="62"/>
      <c r="G59" s="62"/>
      <c r="H59" s="62"/>
      <c r="I59" s="63"/>
      <c r="J59" s="46" t="s">
        <v>21</v>
      </c>
      <c r="K59" s="52">
        <v>4</v>
      </c>
      <c r="L59" s="52">
        <v>1</v>
      </c>
      <c r="M59" s="67"/>
      <c r="N59" s="68"/>
      <c r="O59" s="68"/>
      <c r="P59" s="68"/>
      <c r="Q59" s="68"/>
      <c r="R59" s="69"/>
    </row>
    <row r="60" spans="1:18" ht="15.75" customHeight="1">
      <c r="A60" s="49">
        <v>27</v>
      </c>
      <c r="B60" s="64" t="s">
        <v>59</v>
      </c>
      <c r="C60" s="65"/>
      <c r="D60" s="65"/>
      <c r="E60" s="65"/>
      <c r="F60" s="65"/>
      <c r="G60" s="65"/>
      <c r="H60" s="65"/>
      <c r="I60" s="66"/>
      <c r="J60" s="50" t="s">
        <v>27</v>
      </c>
      <c r="K60" s="51">
        <v>5</v>
      </c>
      <c r="L60" s="51">
        <v>6</v>
      </c>
      <c r="M60" s="55"/>
      <c r="N60" s="56"/>
      <c r="O60" s="56"/>
      <c r="P60" s="56"/>
      <c r="Q60" s="56"/>
      <c r="R60" s="57"/>
    </row>
    <row r="61" spans="1:18" ht="15.75" customHeight="1">
      <c r="A61" s="45">
        <v>28</v>
      </c>
      <c r="B61" s="61" t="s">
        <v>60</v>
      </c>
      <c r="C61" s="62"/>
      <c r="D61" s="62"/>
      <c r="E61" s="62"/>
      <c r="F61" s="62"/>
      <c r="G61" s="62"/>
      <c r="H61" s="62"/>
      <c r="I61" s="63"/>
      <c r="J61" s="46" t="s">
        <v>21</v>
      </c>
      <c r="K61" s="52">
        <v>3</v>
      </c>
      <c r="L61" s="52">
        <v>3</v>
      </c>
      <c r="M61" s="67"/>
      <c r="N61" s="68"/>
      <c r="O61" s="68"/>
      <c r="P61" s="68"/>
      <c r="Q61" s="68"/>
      <c r="R61" s="69"/>
    </row>
    <row r="62" spans="1:18" ht="15.75" customHeight="1">
      <c r="A62" s="49">
        <v>29</v>
      </c>
      <c r="B62" s="64" t="s">
        <v>61</v>
      </c>
      <c r="C62" s="65"/>
      <c r="D62" s="65"/>
      <c r="E62" s="65"/>
      <c r="F62" s="65"/>
      <c r="G62" s="65"/>
      <c r="H62" s="65"/>
      <c r="I62" s="66"/>
      <c r="J62" s="50" t="s">
        <v>21</v>
      </c>
      <c r="K62" s="51">
        <v>3</v>
      </c>
      <c r="L62" s="51">
        <v>3</v>
      </c>
      <c r="M62" s="55"/>
      <c r="N62" s="56"/>
      <c r="O62" s="56"/>
      <c r="P62" s="56"/>
      <c r="Q62" s="56"/>
      <c r="R62" s="57"/>
    </row>
    <row r="63" spans="1:18" ht="15.75" customHeight="1">
      <c r="A63" s="45">
        <v>30</v>
      </c>
      <c r="B63" s="61" t="s">
        <v>62</v>
      </c>
      <c r="C63" s="62"/>
      <c r="D63" s="62"/>
      <c r="E63" s="62"/>
      <c r="F63" s="62"/>
      <c r="G63" s="62"/>
      <c r="H63" s="62"/>
      <c r="I63" s="63"/>
      <c r="J63" s="46" t="s">
        <v>21</v>
      </c>
      <c r="K63" s="52">
        <v>4</v>
      </c>
      <c r="L63" s="52">
        <v>1</v>
      </c>
      <c r="M63" s="67"/>
      <c r="N63" s="68"/>
      <c r="O63" s="68"/>
      <c r="P63" s="68"/>
      <c r="Q63" s="68"/>
      <c r="R63" s="69"/>
    </row>
    <row r="64" spans="1:18" ht="15.75" customHeight="1">
      <c r="A64" s="49">
        <v>31</v>
      </c>
      <c r="B64" s="64" t="s">
        <v>63</v>
      </c>
      <c r="C64" s="65"/>
      <c r="D64" s="65"/>
      <c r="E64" s="65"/>
      <c r="F64" s="65"/>
      <c r="G64" s="65"/>
      <c r="H64" s="65"/>
      <c r="I64" s="66"/>
      <c r="J64" s="50" t="s">
        <v>27</v>
      </c>
      <c r="K64" s="51">
        <v>3</v>
      </c>
      <c r="L64" s="51">
        <v>9</v>
      </c>
      <c r="M64" s="55"/>
      <c r="N64" s="56"/>
      <c r="O64" s="56"/>
      <c r="P64" s="56"/>
      <c r="Q64" s="56"/>
      <c r="R64" s="57"/>
    </row>
    <row r="65" spans="1:18" ht="15.75" customHeight="1">
      <c r="A65" s="45">
        <v>32</v>
      </c>
      <c r="B65" s="61" t="s">
        <v>64</v>
      </c>
      <c r="C65" s="62"/>
      <c r="D65" s="62"/>
      <c r="E65" s="62"/>
      <c r="F65" s="62"/>
      <c r="G65" s="62"/>
      <c r="H65" s="62"/>
      <c r="I65" s="63"/>
      <c r="J65" s="46" t="s">
        <v>21</v>
      </c>
      <c r="K65" s="52">
        <v>3</v>
      </c>
      <c r="L65" s="52">
        <v>3</v>
      </c>
      <c r="M65" s="67"/>
      <c r="N65" s="68"/>
      <c r="O65" s="68"/>
      <c r="P65" s="68"/>
      <c r="Q65" s="68"/>
      <c r="R65" s="69"/>
    </row>
    <row r="66" spans="1:18" ht="15.75" customHeight="1">
      <c r="A66" s="49">
        <v>33</v>
      </c>
      <c r="B66" s="64" t="s">
        <v>65</v>
      </c>
      <c r="C66" s="65"/>
      <c r="D66" s="65"/>
      <c r="E66" s="65"/>
      <c r="F66" s="65"/>
      <c r="G66" s="65"/>
      <c r="H66" s="65"/>
      <c r="I66" s="66"/>
      <c r="J66" s="50" t="s">
        <v>21</v>
      </c>
      <c r="K66" s="51">
        <v>3</v>
      </c>
      <c r="L66" s="51">
        <v>3</v>
      </c>
      <c r="M66" s="55"/>
      <c r="N66" s="56"/>
      <c r="O66" s="56"/>
      <c r="P66" s="56"/>
      <c r="Q66" s="56"/>
      <c r="R66" s="57"/>
    </row>
    <row r="67" spans="1:18" ht="15.75" customHeight="1">
      <c r="A67" s="45">
        <v>34</v>
      </c>
      <c r="B67" s="61" t="s">
        <v>66</v>
      </c>
      <c r="C67" s="62"/>
      <c r="D67" s="62"/>
      <c r="E67" s="62"/>
      <c r="F67" s="62"/>
      <c r="G67" s="62"/>
      <c r="H67" s="62"/>
      <c r="I67" s="63"/>
      <c r="J67" s="46" t="s">
        <v>27</v>
      </c>
      <c r="K67" s="52">
        <v>5</v>
      </c>
      <c r="L67" s="52">
        <v>7</v>
      </c>
      <c r="M67" s="67"/>
      <c r="N67" s="68"/>
      <c r="O67" s="68"/>
      <c r="P67" s="68"/>
      <c r="Q67" s="68"/>
      <c r="R67" s="69"/>
    </row>
    <row r="68" spans="1:18" ht="15.75" customHeight="1">
      <c r="A68" s="49">
        <v>35</v>
      </c>
      <c r="B68" s="64" t="s">
        <v>67</v>
      </c>
      <c r="C68" s="65"/>
      <c r="D68" s="65"/>
      <c r="E68" s="65"/>
      <c r="F68" s="65"/>
      <c r="G68" s="65"/>
      <c r="H68" s="65"/>
      <c r="I68" s="66"/>
      <c r="J68" s="50" t="s">
        <v>27</v>
      </c>
      <c r="K68" s="51">
        <v>5</v>
      </c>
      <c r="L68" s="51">
        <v>7</v>
      </c>
      <c r="M68" s="55"/>
      <c r="N68" s="56"/>
      <c r="O68" s="56"/>
      <c r="P68" s="56"/>
      <c r="Q68" s="56"/>
      <c r="R68" s="57"/>
    </row>
    <row r="69" spans="1:18" ht="15.75" customHeight="1">
      <c r="A69" s="45">
        <v>36</v>
      </c>
      <c r="B69" s="61" t="s">
        <v>68</v>
      </c>
      <c r="C69" s="62"/>
      <c r="D69" s="62"/>
      <c r="E69" s="62"/>
      <c r="F69" s="62"/>
      <c r="G69" s="62"/>
      <c r="H69" s="62"/>
      <c r="I69" s="63"/>
      <c r="J69" s="46" t="s">
        <v>27</v>
      </c>
      <c r="K69" s="52">
        <v>5</v>
      </c>
      <c r="L69" s="52">
        <v>7</v>
      </c>
      <c r="M69" s="67"/>
      <c r="N69" s="68"/>
      <c r="O69" s="68"/>
      <c r="P69" s="68"/>
      <c r="Q69" s="68"/>
      <c r="R69" s="69"/>
    </row>
    <row r="70" spans="1:18" ht="15.75" customHeight="1">
      <c r="A70" s="49">
        <v>37</v>
      </c>
      <c r="B70" s="64" t="s">
        <v>69</v>
      </c>
      <c r="C70" s="65"/>
      <c r="D70" s="65"/>
      <c r="E70" s="65"/>
      <c r="F70" s="65"/>
      <c r="G70" s="65"/>
      <c r="H70" s="65"/>
      <c r="I70" s="66"/>
      <c r="J70" s="50" t="s">
        <v>27</v>
      </c>
      <c r="K70" s="51">
        <v>5</v>
      </c>
      <c r="L70" s="51">
        <v>7</v>
      </c>
      <c r="M70" s="55"/>
      <c r="N70" s="56"/>
      <c r="O70" s="56"/>
      <c r="P70" s="56"/>
      <c r="Q70" s="56"/>
      <c r="R70" s="57"/>
    </row>
    <row r="71" spans="1:18" ht="15.75" customHeight="1">
      <c r="A71" s="45">
        <v>38</v>
      </c>
      <c r="B71" s="61" t="s">
        <v>70</v>
      </c>
      <c r="C71" s="62"/>
      <c r="D71" s="62"/>
      <c r="E71" s="62"/>
      <c r="F71" s="62"/>
      <c r="G71" s="62"/>
      <c r="H71" s="62"/>
      <c r="I71" s="63"/>
      <c r="J71" s="46" t="s">
        <v>27</v>
      </c>
      <c r="K71" s="52">
        <v>5</v>
      </c>
      <c r="L71" s="52">
        <v>7</v>
      </c>
      <c r="M71" s="67"/>
      <c r="N71" s="68"/>
      <c r="O71" s="68"/>
      <c r="P71" s="68"/>
      <c r="Q71" s="68"/>
      <c r="R71" s="69"/>
    </row>
    <row r="72" spans="1:18" ht="15.75" customHeight="1">
      <c r="A72" s="49">
        <v>39</v>
      </c>
      <c r="B72" s="64" t="s">
        <v>71</v>
      </c>
      <c r="C72" s="65"/>
      <c r="D72" s="65"/>
      <c r="E72" s="65"/>
      <c r="F72" s="65"/>
      <c r="G72" s="65"/>
      <c r="H72" s="65"/>
      <c r="I72" s="66"/>
      <c r="J72" s="50" t="s">
        <v>27</v>
      </c>
      <c r="K72" s="51">
        <v>5</v>
      </c>
      <c r="L72" s="51">
        <v>7</v>
      </c>
      <c r="M72" s="55"/>
      <c r="N72" s="56"/>
      <c r="O72" s="56"/>
      <c r="P72" s="56"/>
      <c r="Q72" s="56"/>
      <c r="R72" s="57"/>
    </row>
    <row r="73" spans="1:18" ht="15.75" customHeight="1">
      <c r="A73" s="45">
        <v>40</v>
      </c>
      <c r="B73" s="61" t="s">
        <v>72</v>
      </c>
      <c r="C73" s="62"/>
      <c r="D73" s="62"/>
      <c r="E73" s="62"/>
      <c r="F73" s="62"/>
      <c r="G73" s="62"/>
      <c r="H73" s="62"/>
      <c r="I73" s="63"/>
      <c r="J73" s="46" t="s">
        <v>27</v>
      </c>
      <c r="K73" s="52">
        <v>5</v>
      </c>
      <c r="L73" s="52">
        <v>7</v>
      </c>
      <c r="M73" s="67"/>
      <c r="N73" s="68"/>
      <c r="O73" s="68"/>
      <c r="P73" s="68"/>
      <c r="Q73" s="68"/>
      <c r="R73" s="69"/>
    </row>
    <row r="74" spans="1:18" ht="15.75" customHeight="1">
      <c r="A74" s="49">
        <v>41</v>
      </c>
      <c r="B74" s="64" t="s">
        <v>73</v>
      </c>
      <c r="C74" s="65"/>
      <c r="D74" s="65"/>
      <c r="E74" s="65"/>
      <c r="F74" s="65"/>
      <c r="G74" s="65"/>
      <c r="H74" s="65"/>
      <c r="I74" s="66"/>
      <c r="J74" s="50" t="s">
        <v>27</v>
      </c>
      <c r="K74" s="51">
        <v>5</v>
      </c>
      <c r="L74" s="51">
        <v>7</v>
      </c>
      <c r="M74" s="55"/>
      <c r="N74" s="56"/>
      <c r="O74" s="56"/>
      <c r="P74" s="56"/>
      <c r="Q74" s="56"/>
      <c r="R74" s="57"/>
    </row>
    <row r="75" spans="1:18" ht="15.75" customHeight="1">
      <c r="A75" s="45">
        <v>42</v>
      </c>
      <c r="B75" s="61" t="s">
        <v>74</v>
      </c>
      <c r="C75" s="62"/>
      <c r="D75" s="62"/>
      <c r="E75" s="62"/>
      <c r="F75" s="62"/>
      <c r="G75" s="62"/>
      <c r="H75" s="62"/>
      <c r="I75" s="63"/>
      <c r="J75" s="46" t="s">
        <v>133</v>
      </c>
      <c r="K75" s="52">
        <v>9</v>
      </c>
      <c r="L75" s="52">
        <v>10</v>
      </c>
      <c r="M75" s="67"/>
      <c r="N75" s="68"/>
      <c r="O75" s="68"/>
      <c r="P75" s="68"/>
      <c r="Q75" s="68"/>
      <c r="R75" s="69"/>
    </row>
    <row r="76" spans="1:18" ht="15.75" customHeight="1">
      <c r="A76" s="49">
        <v>43</v>
      </c>
      <c r="B76" s="64" t="s">
        <v>75</v>
      </c>
      <c r="C76" s="65"/>
      <c r="D76" s="65"/>
      <c r="E76" s="65"/>
      <c r="F76" s="65"/>
      <c r="G76" s="65"/>
      <c r="H76" s="65"/>
      <c r="I76" s="66"/>
      <c r="J76" s="50" t="s">
        <v>27</v>
      </c>
      <c r="K76" s="51">
        <v>10</v>
      </c>
      <c r="L76" s="51">
        <v>8</v>
      </c>
      <c r="M76" s="55"/>
      <c r="N76" s="56"/>
      <c r="O76" s="56"/>
      <c r="P76" s="56"/>
      <c r="Q76" s="56"/>
      <c r="R76" s="57"/>
    </row>
    <row r="77" spans="1:18" ht="15.75" customHeight="1">
      <c r="A77" s="45">
        <v>44</v>
      </c>
      <c r="B77" s="61" t="s">
        <v>76</v>
      </c>
      <c r="C77" s="62"/>
      <c r="D77" s="62"/>
      <c r="E77" s="62"/>
      <c r="F77" s="62"/>
      <c r="G77" s="62"/>
      <c r="H77" s="62"/>
      <c r="I77" s="63"/>
      <c r="J77" s="46" t="s">
        <v>27</v>
      </c>
      <c r="K77" s="52">
        <v>4</v>
      </c>
      <c r="L77" s="52">
        <v>7</v>
      </c>
      <c r="M77" s="67"/>
      <c r="N77" s="68"/>
      <c r="O77" s="68"/>
      <c r="P77" s="68"/>
      <c r="Q77" s="68"/>
      <c r="R77" s="69"/>
    </row>
    <row r="78" spans="1:18" ht="15.75" customHeight="1">
      <c r="A78" s="49">
        <v>45</v>
      </c>
      <c r="B78" s="64" t="s">
        <v>77</v>
      </c>
      <c r="C78" s="65"/>
      <c r="D78" s="65"/>
      <c r="E78" s="65"/>
      <c r="F78" s="65"/>
      <c r="G78" s="65"/>
      <c r="H78" s="65"/>
      <c r="I78" s="66"/>
      <c r="J78" s="50" t="s">
        <v>27</v>
      </c>
      <c r="K78" s="51">
        <v>4</v>
      </c>
      <c r="L78" s="51">
        <v>8</v>
      </c>
      <c r="M78" s="55"/>
      <c r="N78" s="56"/>
      <c r="O78" s="56"/>
      <c r="P78" s="56"/>
      <c r="Q78" s="56"/>
      <c r="R78" s="57"/>
    </row>
    <row r="79" spans="1:18" ht="15.75" customHeight="1">
      <c r="A79" s="45">
        <v>46</v>
      </c>
      <c r="B79" s="61" t="s">
        <v>78</v>
      </c>
      <c r="C79" s="62"/>
      <c r="D79" s="62"/>
      <c r="E79" s="62"/>
      <c r="F79" s="62"/>
      <c r="G79" s="62"/>
      <c r="H79" s="62"/>
      <c r="I79" s="63"/>
      <c r="J79" s="46" t="s">
        <v>21</v>
      </c>
      <c r="K79" s="52">
        <v>4</v>
      </c>
      <c r="L79" s="52">
        <v>4</v>
      </c>
      <c r="M79" s="67"/>
      <c r="N79" s="68"/>
      <c r="O79" s="68"/>
      <c r="P79" s="68"/>
      <c r="Q79" s="68"/>
      <c r="R79" s="69"/>
    </row>
    <row r="80" spans="1:18" ht="15.75" customHeight="1">
      <c r="A80" s="49">
        <v>47</v>
      </c>
      <c r="B80" s="64" t="s">
        <v>79</v>
      </c>
      <c r="C80" s="65"/>
      <c r="D80" s="65"/>
      <c r="E80" s="65"/>
      <c r="F80" s="65"/>
      <c r="G80" s="65"/>
      <c r="H80" s="65"/>
      <c r="I80" s="66"/>
      <c r="J80" s="50" t="s">
        <v>27</v>
      </c>
      <c r="K80" s="51">
        <v>10</v>
      </c>
      <c r="L80" s="51">
        <v>6</v>
      </c>
      <c r="M80" s="55"/>
      <c r="N80" s="56"/>
      <c r="O80" s="56"/>
      <c r="P80" s="56"/>
      <c r="Q80" s="56"/>
      <c r="R80" s="57"/>
    </row>
    <row r="81" spans="1:18" ht="15.75" customHeight="1">
      <c r="A81" s="45">
        <v>48</v>
      </c>
      <c r="B81" s="61" t="s">
        <v>80</v>
      </c>
      <c r="C81" s="62"/>
      <c r="D81" s="62"/>
      <c r="E81" s="62"/>
      <c r="F81" s="62"/>
      <c r="G81" s="62"/>
      <c r="H81" s="62"/>
      <c r="I81" s="63"/>
      <c r="J81" s="46" t="s">
        <v>27</v>
      </c>
      <c r="K81" s="52">
        <v>10</v>
      </c>
      <c r="L81" s="52">
        <v>6</v>
      </c>
      <c r="M81" s="67"/>
      <c r="N81" s="68"/>
      <c r="O81" s="68"/>
      <c r="P81" s="68"/>
      <c r="Q81" s="68"/>
      <c r="R81" s="69"/>
    </row>
    <row r="82" spans="1:18" ht="15.75" customHeight="1">
      <c r="A82" s="49">
        <v>49</v>
      </c>
      <c r="B82" s="64" t="s">
        <v>81</v>
      </c>
      <c r="C82" s="65"/>
      <c r="D82" s="65"/>
      <c r="E82" s="65"/>
      <c r="F82" s="65"/>
      <c r="G82" s="65"/>
      <c r="H82" s="65"/>
      <c r="I82" s="66"/>
      <c r="J82" s="50" t="s">
        <v>27</v>
      </c>
      <c r="K82" s="51">
        <v>10</v>
      </c>
      <c r="L82" s="51">
        <v>5</v>
      </c>
      <c r="M82" s="55"/>
      <c r="N82" s="56"/>
      <c r="O82" s="56"/>
      <c r="P82" s="56"/>
      <c r="Q82" s="56"/>
      <c r="R82" s="57"/>
    </row>
    <row r="83" spans="1:18" ht="15.75" customHeight="1">
      <c r="A83" s="45">
        <v>50</v>
      </c>
      <c r="B83" s="61" t="s">
        <v>82</v>
      </c>
      <c r="C83" s="62"/>
      <c r="D83" s="62"/>
      <c r="E83" s="62"/>
      <c r="F83" s="62"/>
      <c r="G83" s="62"/>
      <c r="H83" s="62"/>
      <c r="I83" s="63"/>
      <c r="J83" s="46" t="s">
        <v>27</v>
      </c>
      <c r="K83" s="52">
        <v>10</v>
      </c>
      <c r="L83" s="52">
        <v>4</v>
      </c>
      <c r="M83" s="67"/>
      <c r="N83" s="68"/>
      <c r="O83" s="68"/>
      <c r="P83" s="68"/>
      <c r="Q83" s="68"/>
      <c r="R83" s="69"/>
    </row>
    <row r="84" spans="1:18" ht="15.75" customHeight="1">
      <c r="A84" s="49">
        <v>51</v>
      </c>
      <c r="B84" s="64" t="s">
        <v>83</v>
      </c>
      <c r="C84" s="65"/>
      <c r="D84" s="65"/>
      <c r="E84" s="65"/>
      <c r="F84" s="65"/>
      <c r="G84" s="65"/>
      <c r="H84" s="65"/>
      <c r="I84" s="66"/>
      <c r="J84" s="50" t="s">
        <v>27</v>
      </c>
      <c r="K84" s="51">
        <v>10</v>
      </c>
      <c r="L84" s="51">
        <v>4</v>
      </c>
      <c r="M84" s="55"/>
      <c r="N84" s="56"/>
      <c r="O84" s="56"/>
      <c r="P84" s="56"/>
      <c r="Q84" s="56"/>
      <c r="R84" s="57"/>
    </row>
    <row r="85" spans="1:18" ht="15.75" customHeight="1">
      <c r="A85" s="45">
        <v>52</v>
      </c>
      <c r="B85" s="61" t="s">
        <v>84</v>
      </c>
      <c r="C85" s="62"/>
      <c r="D85" s="62"/>
      <c r="E85" s="62"/>
      <c r="F85" s="62"/>
      <c r="G85" s="62"/>
      <c r="H85" s="62"/>
      <c r="I85" s="63"/>
      <c r="J85" s="46" t="s">
        <v>27</v>
      </c>
      <c r="K85" s="52">
        <v>10</v>
      </c>
      <c r="L85" s="52">
        <v>3</v>
      </c>
      <c r="M85" s="67"/>
      <c r="N85" s="68"/>
      <c r="O85" s="68"/>
      <c r="P85" s="68"/>
      <c r="Q85" s="68"/>
      <c r="R85" s="69"/>
    </row>
    <row r="86" spans="1:18" ht="15.75" customHeight="1">
      <c r="A86" s="49">
        <v>53</v>
      </c>
      <c r="B86" s="64" t="s">
        <v>85</v>
      </c>
      <c r="C86" s="65"/>
      <c r="D86" s="65"/>
      <c r="E86" s="65"/>
      <c r="F86" s="65"/>
      <c r="G86" s="65"/>
      <c r="H86" s="65"/>
      <c r="I86" s="66"/>
      <c r="J86" s="50" t="s">
        <v>27</v>
      </c>
      <c r="K86" s="51">
        <v>9</v>
      </c>
      <c r="L86" s="51">
        <v>3</v>
      </c>
      <c r="M86" s="55"/>
      <c r="N86" s="56"/>
      <c r="O86" s="56"/>
      <c r="P86" s="56"/>
      <c r="Q86" s="56"/>
      <c r="R86" s="57"/>
    </row>
    <row r="87" spans="1:18" ht="15.75" customHeight="1">
      <c r="A87" s="45">
        <v>54</v>
      </c>
      <c r="B87" s="61" t="s">
        <v>86</v>
      </c>
      <c r="C87" s="62"/>
      <c r="D87" s="62"/>
      <c r="E87" s="62"/>
      <c r="F87" s="62"/>
      <c r="G87" s="62"/>
      <c r="H87" s="62"/>
      <c r="I87" s="63"/>
      <c r="J87" s="46" t="s">
        <v>27</v>
      </c>
      <c r="K87" s="52">
        <v>9</v>
      </c>
      <c r="L87" s="52">
        <v>3</v>
      </c>
      <c r="M87" s="67"/>
      <c r="N87" s="68"/>
      <c r="O87" s="68"/>
      <c r="P87" s="68"/>
      <c r="Q87" s="68"/>
      <c r="R87" s="69"/>
    </row>
    <row r="88" spans="1:18" ht="15.75" customHeight="1">
      <c r="A88" s="49">
        <v>55</v>
      </c>
      <c r="B88" s="64" t="s">
        <v>87</v>
      </c>
      <c r="C88" s="65"/>
      <c r="D88" s="65"/>
      <c r="E88" s="65"/>
      <c r="F88" s="65"/>
      <c r="G88" s="65"/>
      <c r="H88" s="65"/>
      <c r="I88" s="66"/>
      <c r="J88" s="50" t="s">
        <v>27</v>
      </c>
      <c r="K88" s="51">
        <v>9</v>
      </c>
      <c r="L88" s="51">
        <v>3</v>
      </c>
      <c r="M88" s="55"/>
      <c r="N88" s="56"/>
      <c r="O88" s="56"/>
      <c r="P88" s="56"/>
      <c r="Q88" s="56"/>
      <c r="R88" s="57"/>
    </row>
    <row r="89" spans="1:18" ht="15.75" customHeight="1">
      <c r="A89" s="45">
        <v>56</v>
      </c>
      <c r="B89" s="61" t="s">
        <v>88</v>
      </c>
      <c r="C89" s="62"/>
      <c r="D89" s="62"/>
      <c r="E89" s="62"/>
      <c r="F89" s="62"/>
      <c r="G89" s="62"/>
      <c r="H89" s="62"/>
      <c r="I89" s="63"/>
      <c r="J89" s="46" t="s">
        <v>27</v>
      </c>
      <c r="K89" s="52">
        <v>9</v>
      </c>
      <c r="L89" s="52">
        <v>3</v>
      </c>
      <c r="M89" s="67"/>
      <c r="N89" s="68"/>
      <c r="O89" s="68"/>
      <c r="P89" s="68"/>
      <c r="Q89" s="68"/>
      <c r="R89" s="69"/>
    </row>
    <row r="90" spans="1:18" ht="15.75" customHeight="1">
      <c r="A90" s="49">
        <v>57</v>
      </c>
      <c r="B90" s="64" t="s">
        <v>89</v>
      </c>
      <c r="C90" s="65"/>
      <c r="D90" s="65"/>
      <c r="E90" s="65"/>
      <c r="F90" s="65"/>
      <c r="G90" s="65"/>
      <c r="H90" s="65"/>
      <c r="I90" s="66"/>
      <c r="J90" s="50" t="s">
        <v>27</v>
      </c>
      <c r="K90" s="51">
        <v>6</v>
      </c>
      <c r="L90" s="51">
        <v>6</v>
      </c>
      <c r="M90" s="55"/>
      <c r="N90" s="56"/>
      <c r="O90" s="56"/>
      <c r="P90" s="56"/>
      <c r="Q90" s="56"/>
      <c r="R90" s="57"/>
    </row>
    <row r="91" spans="1:18" ht="15.75" customHeight="1">
      <c r="A91" s="45">
        <v>58</v>
      </c>
      <c r="B91" s="61" t="s">
        <v>90</v>
      </c>
      <c r="C91" s="62"/>
      <c r="D91" s="62"/>
      <c r="E91" s="62"/>
      <c r="F91" s="62"/>
      <c r="G91" s="62"/>
      <c r="H91" s="62"/>
      <c r="I91" s="63"/>
      <c r="J91" s="46" t="s">
        <v>27</v>
      </c>
      <c r="K91" s="52">
        <v>6</v>
      </c>
      <c r="L91" s="52">
        <v>6</v>
      </c>
      <c r="M91" s="67"/>
      <c r="N91" s="68"/>
      <c r="O91" s="68"/>
      <c r="P91" s="68"/>
      <c r="Q91" s="68"/>
      <c r="R91" s="69"/>
    </row>
    <row r="92" spans="1:18" ht="15.75" customHeight="1">
      <c r="A92" s="49">
        <v>59</v>
      </c>
      <c r="B92" s="64" t="s">
        <v>91</v>
      </c>
      <c r="C92" s="65"/>
      <c r="D92" s="65"/>
      <c r="E92" s="65"/>
      <c r="F92" s="65"/>
      <c r="G92" s="65"/>
      <c r="H92" s="65"/>
      <c r="I92" s="66"/>
      <c r="J92" s="50" t="s">
        <v>27</v>
      </c>
      <c r="K92" s="51">
        <v>6</v>
      </c>
      <c r="L92" s="51">
        <v>6</v>
      </c>
      <c r="M92" s="55"/>
      <c r="N92" s="56"/>
      <c r="O92" s="56"/>
      <c r="P92" s="56"/>
      <c r="Q92" s="56"/>
      <c r="R92" s="57"/>
    </row>
    <row r="93" spans="1:18" ht="15.75" customHeight="1">
      <c r="A93" s="45">
        <v>60</v>
      </c>
      <c r="B93" s="61" t="s">
        <v>92</v>
      </c>
      <c r="C93" s="62"/>
      <c r="D93" s="62"/>
      <c r="E93" s="62"/>
      <c r="F93" s="62"/>
      <c r="G93" s="62"/>
      <c r="H93" s="62"/>
      <c r="I93" s="63"/>
      <c r="J93" s="46" t="s">
        <v>27</v>
      </c>
      <c r="K93" s="52">
        <v>6</v>
      </c>
      <c r="L93" s="52">
        <v>6</v>
      </c>
      <c r="M93" s="67"/>
      <c r="N93" s="68"/>
      <c r="O93" s="68"/>
      <c r="P93" s="68"/>
      <c r="Q93" s="68"/>
      <c r="R93" s="69"/>
    </row>
    <row r="94" spans="1:18" ht="15.75" customHeight="1">
      <c r="A94" s="49">
        <v>61</v>
      </c>
      <c r="B94" s="64" t="s">
        <v>93</v>
      </c>
      <c r="C94" s="65"/>
      <c r="D94" s="65"/>
      <c r="E94" s="65"/>
      <c r="F94" s="65"/>
      <c r="G94" s="65"/>
      <c r="H94" s="65"/>
      <c r="I94" s="66"/>
      <c r="J94" s="50" t="s">
        <v>27</v>
      </c>
      <c r="K94" s="51">
        <v>6</v>
      </c>
      <c r="L94" s="51">
        <v>6</v>
      </c>
      <c r="M94" s="55"/>
      <c r="N94" s="56"/>
      <c r="O94" s="56"/>
      <c r="P94" s="56"/>
      <c r="Q94" s="56"/>
      <c r="R94" s="57"/>
    </row>
    <row r="95" spans="1:18" ht="15.75" customHeight="1">
      <c r="A95" s="45">
        <v>62</v>
      </c>
      <c r="B95" s="61" t="s">
        <v>94</v>
      </c>
      <c r="C95" s="62"/>
      <c r="D95" s="62"/>
      <c r="E95" s="62"/>
      <c r="F95" s="62"/>
      <c r="G95" s="62"/>
      <c r="H95" s="62"/>
      <c r="I95" s="63"/>
      <c r="J95" s="46" t="s">
        <v>27</v>
      </c>
      <c r="K95" s="52">
        <v>6</v>
      </c>
      <c r="L95" s="52">
        <v>6</v>
      </c>
      <c r="M95" s="67"/>
      <c r="N95" s="68"/>
      <c r="O95" s="68"/>
      <c r="P95" s="68"/>
      <c r="Q95" s="68"/>
      <c r="R95" s="69"/>
    </row>
    <row r="96" spans="1:18" ht="15.75" customHeight="1">
      <c r="A96" s="49">
        <v>63</v>
      </c>
      <c r="B96" s="64" t="s">
        <v>95</v>
      </c>
      <c r="C96" s="65"/>
      <c r="D96" s="65"/>
      <c r="E96" s="65"/>
      <c r="F96" s="65"/>
      <c r="G96" s="65"/>
      <c r="H96" s="65"/>
      <c r="I96" s="66"/>
      <c r="J96" s="50" t="s">
        <v>27</v>
      </c>
      <c r="K96" s="51">
        <v>6</v>
      </c>
      <c r="L96" s="51">
        <v>6</v>
      </c>
      <c r="M96" s="55"/>
      <c r="N96" s="56"/>
      <c r="O96" s="56"/>
      <c r="P96" s="56"/>
      <c r="Q96" s="56"/>
      <c r="R96" s="57"/>
    </row>
    <row r="97" spans="1:18" ht="15.75" customHeight="1">
      <c r="A97" s="45">
        <v>64</v>
      </c>
      <c r="B97" s="61" t="s">
        <v>96</v>
      </c>
      <c r="C97" s="62"/>
      <c r="D97" s="62"/>
      <c r="E97" s="62"/>
      <c r="F97" s="62"/>
      <c r="G97" s="62"/>
      <c r="H97" s="62"/>
      <c r="I97" s="63"/>
      <c r="J97" s="46" t="s">
        <v>27</v>
      </c>
      <c r="K97" s="52">
        <v>6</v>
      </c>
      <c r="L97" s="52">
        <v>6</v>
      </c>
      <c r="M97" s="67"/>
      <c r="N97" s="68"/>
      <c r="O97" s="68"/>
      <c r="P97" s="68"/>
      <c r="Q97" s="68"/>
      <c r="R97" s="69"/>
    </row>
    <row r="98" spans="1:18" ht="15.75" customHeight="1">
      <c r="A98" s="49">
        <v>65</v>
      </c>
      <c r="B98" s="64" t="s">
        <v>97</v>
      </c>
      <c r="C98" s="65"/>
      <c r="D98" s="65"/>
      <c r="E98" s="65"/>
      <c r="F98" s="65"/>
      <c r="G98" s="65"/>
      <c r="H98" s="65"/>
      <c r="I98" s="66"/>
      <c r="J98" s="50" t="s">
        <v>21</v>
      </c>
      <c r="K98" s="51">
        <v>2</v>
      </c>
      <c r="L98" s="51">
        <v>1</v>
      </c>
      <c r="M98" s="55"/>
      <c r="N98" s="56"/>
      <c r="O98" s="56"/>
      <c r="P98" s="56"/>
      <c r="Q98" s="56"/>
      <c r="R98" s="57"/>
    </row>
    <row r="99" spans="1:18" ht="15.75" customHeight="1">
      <c r="A99" s="45">
        <v>66</v>
      </c>
      <c r="B99" s="61" t="s">
        <v>98</v>
      </c>
      <c r="C99" s="62"/>
      <c r="D99" s="62"/>
      <c r="E99" s="62"/>
      <c r="F99" s="62"/>
      <c r="G99" s="62"/>
      <c r="H99" s="62"/>
      <c r="I99" s="63"/>
      <c r="J99" s="46" t="s">
        <v>27</v>
      </c>
      <c r="K99" s="52">
        <v>3</v>
      </c>
      <c r="L99" s="52">
        <v>4</v>
      </c>
      <c r="M99" s="67"/>
      <c r="N99" s="68"/>
      <c r="O99" s="68"/>
      <c r="P99" s="68"/>
      <c r="Q99" s="68"/>
      <c r="R99" s="69"/>
    </row>
    <row r="100" spans="1:18" ht="15.75" customHeight="1">
      <c r="A100" s="49">
        <v>67</v>
      </c>
      <c r="B100" s="64" t="s">
        <v>99</v>
      </c>
      <c r="C100" s="65"/>
      <c r="D100" s="65"/>
      <c r="E100" s="65"/>
      <c r="F100" s="65"/>
      <c r="G100" s="65"/>
      <c r="H100" s="65"/>
      <c r="I100" s="66"/>
      <c r="J100" s="50" t="s">
        <v>21</v>
      </c>
      <c r="K100" s="51">
        <v>2</v>
      </c>
      <c r="L100" s="51">
        <v>2</v>
      </c>
      <c r="M100" s="55"/>
      <c r="N100" s="56"/>
      <c r="O100" s="56"/>
      <c r="P100" s="56"/>
      <c r="Q100" s="56"/>
      <c r="R100" s="57"/>
    </row>
    <row r="101" spans="1:18" ht="15.75" customHeight="1">
      <c r="A101" s="45">
        <v>68</v>
      </c>
      <c r="B101" s="61" t="s">
        <v>100</v>
      </c>
      <c r="C101" s="62"/>
      <c r="D101" s="62"/>
      <c r="E101" s="62"/>
      <c r="F101" s="62"/>
      <c r="G101" s="62"/>
      <c r="H101" s="62"/>
      <c r="I101" s="63"/>
      <c r="J101" s="46" t="s">
        <v>21</v>
      </c>
      <c r="K101" s="52">
        <v>4</v>
      </c>
      <c r="L101" s="52">
        <v>4</v>
      </c>
      <c r="M101" s="67"/>
      <c r="N101" s="68"/>
      <c r="O101" s="68"/>
      <c r="P101" s="68"/>
      <c r="Q101" s="68"/>
      <c r="R101" s="69"/>
    </row>
    <row r="102" spans="1:18" ht="15.75" customHeight="1">
      <c r="A102" s="49">
        <v>69</v>
      </c>
      <c r="B102" s="64" t="s">
        <v>101</v>
      </c>
      <c r="C102" s="65"/>
      <c r="D102" s="65"/>
      <c r="E102" s="65"/>
      <c r="F102" s="65"/>
      <c r="G102" s="65"/>
      <c r="H102" s="65"/>
      <c r="I102" s="66"/>
      <c r="J102" s="50" t="s">
        <v>133</v>
      </c>
      <c r="K102" s="51">
        <v>6</v>
      </c>
      <c r="L102" s="51">
        <v>9</v>
      </c>
      <c r="M102" s="55"/>
      <c r="N102" s="56"/>
      <c r="O102" s="56"/>
      <c r="P102" s="56"/>
      <c r="Q102" s="56"/>
      <c r="R102" s="57"/>
    </row>
    <row r="103" spans="1:18" ht="15.75" customHeight="1">
      <c r="A103" s="45">
        <v>70</v>
      </c>
      <c r="B103" s="61" t="s">
        <v>102</v>
      </c>
      <c r="C103" s="62"/>
      <c r="D103" s="62"/>
      <c r="E103" s="62"/>
      <c r="F103" s="62"/>
      <c r="G103" s="62"/>
      <c r="H103" s="62"/>
      <c r="I103" s="63"/>
      <c r="J103" s="46" t="s">
        <v>27</v>
      </c>
      <c r="K103" s="52">
        <v>9</v>
      </c>
      <c r="L103" s="52">
        <v>6</v>
      </c>
      <c r="M103" s="67"/>
      <c r="N103" s="68"/>
      <c r="O103" s="68"/>
      <c r="P103" s="68"/>
      <c r="Q103" s="68"/>
      <c r="R103" s="69"/>
    </row>
    <row r="104" spans="1:18" ht="15.75" customHeight="1">
      <c r="A104" s="49">
        <v>71</v>
      </c>
      <c r="B104" s="64" t="s">
        <v>103</v>
      </c>
      <c r="C104" s="65"/>
      <c r="D104" s="65"/>
      <c r="E104" s="65"/>
      <c r="F104" s="65"/>
      <c r="G104" s="65"/>
      <c r="H104" s="65"/>
      <c r="I104" s="66"/>
      <c r="J104" s="50" t="s">
        <v>27</v>
      </c>
      <c r="K104" s="51">
        <v>9</v>
      </c>
      <c r="L104" s="51">
        <v>6</v>
      </c>
      <c r="M104" s="55"/>
      <c r="N104" s="56"/>
      <c r="O104" s="56"/>
      <c r="P104" s="56"/>
      <c r="Q104" s="56"/>
      <c r="R104" s="57"/>
    </row>
    <row r="105" spans="1:18" ht="15.75" customHeight="1">
      <c r="A105" s="45">
        <v>72</v>
      </c>
      <c r="B105" s="61" t="s">
        <v>104</v>
      </c>
      <c r="C105" s="62"/>
      <c r="D105" s="62"/>
      <c r="E105" s="62"/>
      <c r="F105" s="62"/>
      <c r="G105" s="62"/>
      <c r="H105" s="62"/>
      <c r="I105" s="63"/>
      <c r="J105" s="46" t="s">
        <v>27</v>
      </c>
      <c r="K105" s="52">
        <v>9</v>
      </c>
      <c r="L105" s="52">
        <v>6</v>
      </c>
      <c r="M105" s="67"/>
      <c r="N105" s="68"/>
      <c r="O105" s="68"/>
      <c r="P105" s="68"/>
      <c r="Q105" s="68"/>
      <c r="R105" s="69"/>
    </row>
    <row r="106" spans="1:18" ht="15.75" customHeight="1">
      <c r="A106" s="49">
        <v>73</v>
      </c>
      <c r="B106" s="64" t="s">
        <v>105</v>
      </c>
      <c r="C106" s="65"/>
      <c r="D106" s="65"/>
      <c r="E106" s="65"/>
      <c r="F106" s="65"/>
      <c r="G106" s="65"/>
      <c r="H106" s="65"/>
      <c r="I106" s="66"/>
      <c r="J106" s="50" t="s">
        <v>27</v>
      </c>
      <c r="K106" s="51">
        <v>9</v>
      </c>
      <c r="L106" s="51">
        <v>6</v>
      </c>
      <c r="M106" s="55"/>
      <c r="N106" s="56"/>
      <c r="O106" s="56"/>
      <c r="P106" s="56"/>
      <c r="Q106" s="56"/>
      <c r="R106" s="57"/>
    </row>
    <row r="107" spans="1:18" ht="15.75" customHeight="1">
      <c r="A107" s="45">
        <v>74</v>
      </c>
      <c r="B107" s="61" t="s">
        <v>106</v>
      </c>
      <c r="C107" s="62"/>
      <c r="D107" s="62"/>
      <c r="E107" s="62"/>
      <c r="F107" s="62"/>
      <c r="G107" s="62"/>
      <c r="H107" s="62"/>
      <c r="I107" s="63"/>
      <c r="J107" s="46" t="s">
        <v>21</v>
      </c>
      <c r="K107" s="52">
        <v>2</v>
      </c>
      <c r="L107" s="52">
        <v>1</v>
      </c>
      <c r="M107" s="67"/>
      <c r="N107" s="68"/>
      <c r="O107" s="68"/>
      <c r="P107" s="68"/>
      <c r="Q107" s="68"/>
      <c r="R107" s="69"/>
    </row>
    <row r="108" spans="1:18" ht="15.75" customHeight="1">
      <c r="A108" s="49">
        <v>75</v>
      </c>
      <c r="B108" s="64" t="s">
        <v>107</v>
      </c>
      <c r="C108" s="65"/>
      <c r="D108" s="65"/>
      <c r="E108" s="65"/>
      <c r="F108" s="65"/>
      <c r="G108" s="65"/>
      <c r="H108" s="65"/>
      <c r="I108" s="66"/>
      <c r="J108" s="50" t="s">
        <v>21</v>
      </c>
      <c r="K108" s="51">
        <v>2</v>
      </c>
      <c r="L108" s="51">
        <v>1</v>
      </c>
      <c r="M108" s="55"/>
      <c r="N108" s="56"/>
      <c r="O108" s="56"/>
      <c r="P108" s="56"/>
      <c r="Q108" s="56"/>
      <c r="R108" s="57"/>
    </row>
    <row r="109" spans="1:18" ht="15.75" customHeight="1">
      <c r="A109" s="45">
        <v>76</v>
      </c>
      <c r="B109" s="61" t="s">
        <v>108</v>
      </c>
      <c r="C109" s="62"/>
      <c r="D109" s="62"/>
      <c r="E109" s="62"/>
      <c r="F109" s="62"/>
      <c r="G109" s="62"/>
      <c r="H109" s="62"/>
      <c r="I109" s="63"/>
      <c r="J109" s="46" t="s">
        <v>21</v>
      </c>
      <c r="K109" s="52">
        <v>2</v>
      </c>
      <c r="L109" s="52">
        <v>1</v>
      </c>
      <c r="M109" s="67"/>
      <c r="N109" s="68"/>
      <c r="O109" s="68"/>
      <c r="P109" s="68"/>
      <c r="Q109" s="68"/>
      <c r="R109" s="69"/>
    </row>
    <row r="110" spans="1:18" ht="15.75" customHeight="1">
      <c r="A110" s="49">
        <v>77</v>
      </c>
      <c r="B110" s="64" t="s">
        <v>109</v>
      </c>
      <c r="C110" s="65"/>
      <c r="D110" s="65"/>
      <c r="E110" s="65"/>
      <c r="F110" s="65"/>
      <c r="G110" s="65"/>
      <c r="H110" s="65"/>
      <c r="I110" s="66"/>
      <c r="J110" s="50" t="s">
        <v>21</v>
      </c>
      <c r="K110" s="51">
        <v>8</v>
      </c>
      <c r="L110" s="51">
        <v>8</v>
      </c>
      <c r="M110" s="55"/>
      <c r="N110" s="56"/>
      <c r="O110" s="56"/>
      <c r="P110" s="56"/>
      <c r="Q110" s="56"/>
      <c r="R110" s="57"/>
    </row>
    <row r="111" spans="1:18" ht="15.75" customHeight="1">
      <c r="A111" s="45">
        <v>78</v>
      </c>
      <c r="B111" s="61" t="s">
        <v>110</v>
      </c>
      <c r="C111" s="62"/>
      <c r="D111" s="62"/>
      <c r="E111" s="62"/>
      <c r="F111" s="62"/>
      <c r="G111" s="62"/>
      <c r="H111" s="62"/>
      <c r="I111" s="63"/>
      <c r="J111" s="46" t="s">
        <v>21</v>
      </c>
      <c r="K111" s="52">
        <v>2</v>
      </c>
      <c r="L111" s="52">
        <v>1</v>
      </c>
      <c r="M111" s="67"/>
      <c r="N111" s="68"/>
      <c r="O111" s="68"/>
      <c r="P111" s="68"/>
      <c r="Q111" s="68"/>
      <c r="R111" s="69"/>
    </row>
    <row r="112" spans="1:18" ht="15.75" customHeight="1">
      <c r="A112" s="49">
        <v>79</v>
      </c>
      <c r="B112" s="64" t="s">
        <v>111</v>
      </c>
      <c r="C112" s="65"/>
      <c r="D112" s="65"/>
      <c r="E112" s="65"/>
      <c r="F112" s="65"/>
      <c r="G112" s="65"/>
      <c r="H112" s="65"/>
      <c r="I112" s="66"/>
      <c r="J112" s="50" t="s">
        <v>133</v>
      </c>
      <c r="K112" s="51">
        <v>10</v>
      </c>
      <c r="L112" s="51">
        <v>10</v>
      </c>
      <c r="M112" s="55"/>
      <c r="N112" s="56"/>
      <c r="O112" s="56"/>
      <c r="P112" s="56"/>
      <c r="Q112" s="56"/>
      <c r="R112" s="57"/>
    </row>
    <row r="113" spans="1:18" ht="15.75" customHeight="1">
      <c r="A113" s="45">
        <v>80</v>
      </c>
      <c r="B113" s="61" t="s">
        <v>112</v>
      </c>
      <c r="C113" s="62"/>
      <c r="D113" s="62"/>
      <c r="E113" s="62"/>
      <c r="F113" s="62"/>
      <c r="G113" s="62"/>
      <c r="H113" s="62"/>
      <c r="I113" s="63"/>
      <c r="J113" s="46" t="s">
        <v>133</v>
      </c>
      <c r="K113" s="52">
        <v>3</v>
      </c>
      <c r="L113" s="52">
        <v>9</v>
      </c>
      <c r="M113" s="67"/>
      <c r="N113" s="68"/>
      <c r="O113" s="68"/>
      <c r="P113" s="68"/>
      <c r="Q113" s="68"/>
      <c r="R113" s="69"/>
    </row>
    <row r="114" spans="1:18" ht="15.75" customHeight="1">
      <c r="A114" s="49">
        <v>81</v>
      </c>
      <c r="B114" s="64" t="s">
        <v>113</v>
      </c>
      <c r="C114" s="65"/>
      <c r="D114" s="65"/>
      <c r="E114" s="65"/>
      <c r="F114" s="65"/>
      <c r="G114" s="65"/>
      <c r="H114" s="65"/>
      <c r="I114" s="66"/>
      <c r="J114" s="50" t="s">
        <v>21</v>
      </c>
      <c r="K114" s="51">
        <v>5</v>
      </c>
      <c r="L114" s="51">
        <v>5</v>
      </c>
      <c r="M114" s="55"/>
      <c r="N114" s="56"/>
      <c r="O114" s="56"/>
      <c r="P114" s="56"/>
      <c r="Q114" s="56"/>
      <c r="R114" s="57"/>
    </row>
    <row r="115" spans="1:18" ht="15.75" customHeight="1">
      <c r="A115" s="45">
        <v>82</v>
      </c>
      <c r="B115" s="61" t="s">
        <v>114</v>
      </c>
      <c r="C115" s="62"/>
      <c r="D115" s="62"/>
      <c r="E115" s="62"/>
      <c r="F115" s="62"/>
      <c r="G115" s="62"/>
      <c r="H115" s="62"/>
      <c r="I115" s="63"/>
      <c r="J115" s="46" t="s">
        <v>27</v>
      </c>
      <c r="K115" s="52">
        <v>6</v>
      </c>
      <c r="L115" s="52">
        <v>4</v>
      </c>
      <c r="M115" s="67"/>
      <c r="N115" s="68"/>
      <c r="O115" s="68"/>
      <c r="P115" s="68"/>
      <c r="Q115" s="68"/>
      <c r="R115" s="69"/>
    </row>
    <row r="116" spans="1:18" ht="15.75" customHeight="1">
      <c r="A116" s="49">
        <v>83</v>
      </c>
      <c r="B116" s="64" t="s">
        <v>115</v>
      </c>
      <c r="C116" s="65"/>
      <c r="D116" s="65"/>
      <c r="E116" s="65"/>
      <c r="F116" s="65"/>
      <c r="G116" s="65"/>
      <c r="H116" s="65"/>
      <c r="I116" s="66"/>
      <c r="J116" s="50" t="s">
        <v>21</v>
      </c>
      <c r="K116" s="51">
        <v>4</v>
      </c>
      <c r="L116" s="51">
        <v>4</v>
      </c>
      <c r="M116" s="55"/>
      <c r="N116" s="56"/>
      <c r="O116" s="56"/>
      <c r="P116" s="56"/>
      <c r="Q116" s="56"/>
      <c r="R116" s="57"/>
    </row>
    <row r="117" spans="1:18" ht="15.75" customHeight="1">
      <c r="A117" s="45">
        <v>84</v>
      </c>
      <c r="B117" s="61" t="s">
        <v>116</v>
      </c>
      <c r="C117" s="62"/>
      <c r="D117" s="62"/>
      <c r="E117" s="62"/>
      <c r="F117" s="62"/>
      <c r="G117" s="62"/>
      <c r="H117" s="62"/>
      <c r="I117" s="63"/>
      <c r="J117" s="46" t="s">
        <v>21</v>
      </c>
      <c r="K117" s="52">
        <v>4</v>
      </c>
      <c r="L117" s="52">
        <v>2</v>
      </c>
      <c r="M117" s="67"/>
      <c r="N117" s="68"/>
      <c r="O117" s="68"/>
      <c r="P117" s="68"/>
      <c r="Q117" s="68"/>
      <c r="R117" s="69"/>
    </row>
    <row r="118" spans="1:18" ht="15.75" customHeight="1">
      <c r="A118" s="49">
        <v>85</v>
      </c>
      <c r="B118" s="64" t="s">
        <v>117</v>
      </c>
      <c r="C118" s="65"/>
      <c r="D118" s="65"/>
      <c r="E118" s="65"/>
      <c r="F118" s="65"/>
      <c r="G118" s="65"/>
      <c r="H118" s="65"/>
      <c r="I118" s="66"/>
      <c r="J118" s="50" t="s">
        <v>21</v>
      </c>
      <c r="K118" s="51">
        <v>4</v>
      </c>
      <c r="L118" s="51">
        <v>2</v>
      </c>
      <c r="M118" s="55"/>
      <c r="N118" s="56"/>
      <c r="O118" s="56"/>
      <c r="P118" s="56"/>
      <c r="Q118" s="56"/>
      <c r="R118" s="57"/>
    </row>
    <row r="119" spans="1:18" ht="15.75" customHeight="1">
      <c r="A119" s="45">
        <v>86</v>
      </c>
      <c r="B119" s="61" t="s">
        <v>118</v>
      </c>
      <c r="C119" s="62"/>
      <c r="D119" s="62"/>
      <c r="E119" s="62"/>
      <c r="F119" s="62"/>
      <c r="G119" s="62"/>
      <c r="H119" s="62"/>
      <c r="I119" s="63"/>
      <c r="J119" s="46" t="s">
        <v>27</v>
      </c>
      <c r="K119" s="52">
        <v>4</v>
      </c>
      <c r="L119" s="52">
        <v>3</v>
      </c>
      <c r="M119" s="67"/>
      <c r="N119" s="68"/>
      <c r="O119" s="68"/>
      <c r="P119" s="68"/>
      <c r="Q119" s="68"/>
      <c r="R119" s="69"/>
    </row>
    <row r="120" spans="1:18" ht="15.75" customHeight="1">
      <c r="A120" s="49">
        <v>87</v>
      </c>
      <c r="B120" s="64" t="s">
        <v>119</v>
      </c>
      <c r="C120" s="65"/>
      <c r="D120" s="65"/>
      <c r="E120" s="65"/>
      <c r="F120" s="65"/>
      <c r="G120" s="65"/>
      <c r="H120" s="65"/>
      <c r="I120" s="66"/>
      <c r="J120" s="50" t="s">
        <v>27</v>
      </c>
      <c r="K120" s="51">
        <v>9</v>
      </c>
      <c r="L120" s="51">
        <v>3</v>
      </c>
      <c r="M120" s="55"/>
      <c r="N120" s="56"/>
      <c r="O120" s="56"/>
      <c r="P120" s="56"/>
      <c r="Q120" s="56"/>
      <c r="R120" s="57"/>
    </row>
    <row r="121" spans="1:18" ht="15.75" customHeight="1">
      <c r="A121" s="45">
        <v>88</v>
      </c>
      <c r="B121" s="61" t="s">
        <v>120</v>
      </c>
      <c r="C121" s="62"/>
      <c r="D121" s="62"/>
      <c r="E121" s="62"/>
      <c r="F121" s="62"/>
      <c r="G121" s="62"/>
      <c r="H121" s="62"/>
      <c r="I121" s="63"/>
      <c r="J121" s="46" t="s">
        <v>25</v>
      </c>
      <c r="K121" s="52">
        <v>1</v>
      </c>
      <c r="L121" s="52">
        <v>10</v>
      </c>
      <c r="M121" s="67"/>
      <c r="N121" s="68"/>
      <c r="O121" s="68"/>
      <c r="P121" s="68"/>
      <c r="Q121" s="68"/>
      <c r="R121" s="69"/>
    </row>
    <row r="122" spans="1:18" ht="15.75" customHeight="1">
      <c r="A122" s="49">
        <v>89</v>
      </c>
      <c r="B122" s="64" t="s">
        <v>121</v>
      </c>
      <c r="C122" s="65"/>
      <c r="D122" s="65"/>
      <c r="E122" s="65"/>
      <c r="F122" s="65"/>
      <c r="G122" s="65"/>
      <c r="H122" s="65"/>
      <c r="I122" s="66"/>
      <c r="J122" s="50" t="s">
        <v>21</v>
      </c>
      <c r="K122" s="51">
        <v>1</v>
      </c>
      <c r="L122" s="51">
        <v>5</v>
      </c>
      <c r="M122" s="55"/>
      <c r="N122" s="56"/>
      <c r="O122" s="56"/>
      <c r="P122" s="56"/>
      <c r="Q122" s="56"/>
      <c r="R122" s="57"/>
    </row>
    <row r="123" spans="1:18" ht="15.75" customHeight="1">
      <c r="A123" s="45">
        <v>90</v>
      </c>
      <c r="B123" s="61" t="s">
        <v>122</v>
      </c>
      <c r="C123" s="62"/>
      <c r="D123" s="62"/>
      <c r="E123" s="62"/>
      <c r="F123" s="62"/>
      <c r="G123" s="62"/>
      <c r="H123" s="62"/>
      <c r="I123" s="63"/>
      <c r="J123" s="46" t="s">
        <v>27</v>
      </c>
      <c r="K123" s="52">
        <v>3</v>
      </c>
      <c r="L123" s="52">
        <v>8</v>
      </c>
      <c r="M123" s="67"/>
      <c r="N123" s="68"/>
      <c r="O123" s="68"/>
      <c r="P123" s="68"/>
      <c r="Q123" s="68"/>
      <c r="R123" s="69"/>
    </row>
    <row r="124" spans="1:18" ht="15.75" customHeight="1">
      <c r="A124" s="49">
        <v>91</v>
      </c>
      <c r="B124" s="64" t="s">
        <v>123</v>
      </c>
      <c r="C124" s="65"/>
      <c r="D124" s="65"/>
      <c r="E124" s="65"/>
      <c r="F124" s="65"/>
      <c r="G124" s="65"/>
      <c r="H124" s="65"/>
      <c r="I124" s="66"/>
      <c r="J124" s="50" t="s">
        <v>21</v>
      </c>
      <c r="K124" s="51">
        <v>5</v>
      </c>
      <c r="L124" s="51">
        <v>4</v>
      </c>
      <c r="M124" s="55"/>
      <c r="N124" s="56"/>
      <c r="O124" s="56"/>
      <c r="P124" s="56"/>
      <c r="Q124" s="56"/>
      <c r="R124" s="57"/>
    </row>
    <row r="125" spans="1:18" ht="15.75" customHeight="1">
      <c r="A125" s="45">
        <v>92</v>
      </c>
      <c r="B125" s="61" t="s">
        <v>124</v>
      </c>
      <c r="C125" s="62"/>
      <c r="D125" s="62"/>
      <c r="E125" s="62"/>
      <c r="F125" s="62"/>
      <c r="G125" s="62"/>
      <c r="H125" s="62"/>
      <c r="I125" s="63"/>
      <c r="J125" s="46" t="s">
        <v>27</v>
      </c>
      <c r="K125" s="52">
        <v>3</v>
      </c>
      <c r="L125" s="52">
        <v>3</v>
      </c>
      <c r="M125" s="67"/>
      <c r="N125" s="68"/>
      <c r="O125" s="68"/>
      <c r="P125" s="68"/>
      <c r="Q125" s="68"/>
      <c r="R125" s="69"/>
    </row>
    <row r="126" spans="1:18" ht="15.75" customHeight="1">
      <c r="A126" s="49">
        <v>93</v>
      </c>
      <c r="B126" s="64" t="s">
        <v>125</v>
      </c>
      <c r="C126" s="65"/>
      <c r="D126" s="65"/>
      <c r="E126" s="65"/>
      <c r="F126" s="65"/>
      <c r="G126" s="65"/>
      <c r="H126" s="65"/>
      <c r="I126" s="66"/>
      <c r="J126" s="50" t="s">
        <v>27</v>
      </c>
      <c r="K126" s="51">
        <v>3</v>
      </c>
      <c r="L126" s="51">
        <v>3</v>
      </c>
      <c r="M126" s="55"/>
      <c r="N126" s="56"/>
      <c r="O126" s="56"/>
      <c r="P126" s="56"/>
      <c r="Q126" s="56"/>
      <c r="R126" s="57"/>
    </row>
    <row r="127" spans="1:18" ht="15.75" customHeight="1">
      <c r="A127" s="45">
        <v>94</v>
      </c>
      <c r="B127" s="61" t="s">
        <v>126</v>
      </c>
      <c r="C127" s="62"/>
      <c r="D127" s="62"/>
      <c r="E127" s="62"/>
      <c r="F127" s="62"/>
      <c r="G127" s="62"/>
      <c r="H127" s="62"/>
      <c r="I127" s="63"/>
      <c r="J127" s="46" t="s">
        <v>21</v>
      </c>
      <c r="K127" s="52">
        <v>3</v>
      </c>
      <c r="L127" s="52">
        <v>1</v>
      </c>
      <c r="M127" s="67"/>
      <c r="N127" s="68"/>
      <c r="O127" s="68"/>
      <c r="P127" s="68"/>
      <c r="Q127" s="68"/>
      <c r="R127" s="69"/>
    </row>
    <row r="128" spans="1:18" ht="15.75" customHeight="1">
      <c r="A128" s="49">
        <v>95</v>
      </c>
      <c r="B128" s="64" t="s">
        <v>127</v>
      </c>
      <c r="C128" s="65"/>
      <c r="D128" s="65"/>
      <c r="E128" s="65"/>
      <c r="F128" s="65"/>
      <c r="G128" s="65"/>
      <c r="H128" s="65"/>
      <c r="I128" s="66"/>
      <c r="J128" s="50" t="s">
        <v>21</v>
      </c>
      <c r="K128" s="51">
        <v>3</v>
      </c>
      <c r="L128" s="51">
        <v>1</v>
      </c>
      <c r="M128" s="55"/>
      <c r="N128" s="56"/>
      <c r="O128" s="56"/>
      <c r="P128" s="56"/>
      <c r="Q128" s="56"/>
      <c r="R128" s="57"/>
    </row>
    <row r="129" spans="1:18" ht="15.75" customHeight="1">
      <c r="A129" s="45">
        <v>96</v>
      </c>
      <c r="B129" s="61" t="s">
        <v>128</v>
      </c>
      <c r="C129" s="62"/>
      <c r="D129" s="62"/>
      <c r="E129" s="62"/>
      <c r="F129" s="62"/>
      <c r="G129" s="62"/>
      <c r="H129" s="62"/>
      <c r="I129" s="63"/>
      <c r="J129" s="46" t="s">
        <v>27</v>
      </c>
      <c r="K129" s="52">
        <v>2</v>
      </c>
      <c r="L129" s="52">
        <v>2</v>
      </c>
      <c r="M129" s="67"/>
      <c r="N129" s="68"/>
      <c r="O129" s="68"/>
      <c r="P129" s="68"/>
      <c r="Q129" s="68"/>
      <c r="R129" s="69"/>
    </row>
    <row r="130" spans="1:18" ht="15.75" customHeight="1">
      <c r="A130" s="49">
        <v>97</v>
      </c>
      <c r="B130" s="64" t="s">
        <v>129</v>
      </c>
      <c r="C130" s="65"/>
      <c r="D130" s="65"/>
      <c r="E130" s="65"/>
      <c r="F130" s="65"/>
      <c r="G130" s="65"/>
      <c r="H130" s="65"/>
      <c r="I130" s="66"/>
      <c r="J130" s="50" t="s">
        <v>27</v>
      </c>
      <c r="K130" s="51">
        <v>1</v>
      </c>
      <c r="L130" s="51">
        <v>1</v>
      </c>
      <c r="M130" s="55"/>
      <c r="N130" s="56"/>
      <c r="O130" s="56"/>
      <c r="P130" s="56"/>
      <c r="Q130" s="56"/>
      <c r="R130" s="57"/>
    </row>
    <row r="131" spans="1:18" ht="15.75" customHeight="1">
      <c r="A131" s="45">
        <v>98</v>
      </c>
      <c r="B131" s="61" t="s">
        <v>130</v>
      </c>
      <c r="C131" s="62"/>
      <c r="D131" s="62"/>
      <c r="E131" s="62"/>
      <c r="F131" s="62"/>
      <c r="G131" s="62"/>
      <c r="H131" s="62"/>
      <c r="I131" s="63"/>
      <c r="J131" s="46" t="s">
        <v>21</v>
      </c>
      <c r="K131" s="52">
        <v>1</v>
      </c>
      <c r="L131" s="52">
        <v>1</v>
      </c>
      <c r="M131" s="67"/>
      <c r="N131" s="68"/>
      <c r="O131" s="68"/>
      <c r="P131" s="68"/>
      <c r="Q131" s="68"/>
      <c r="R131" s="69"/>
    </row>
    <row r="132" spans="1:18" ht="15.75" customHeight="1">
      <c r="A132" s="49">
        <v>99</v>
      </c>
      <c r="B132" s="64" t="s">
        <v>131</v>
      </c>
      <c r="C132" s="65"/>
      <c r="D132" s="65"/>
      <c r="E132" s="65"/>
      <c r="F132" s="65"/>
      <c r="G132" s="65"/>
      <c r="H132" s="65"/>
      <c r="I132" s="66"/>
      <c r="J132" s="50" t="s">
        <v>133</v>
      </c>
      <c r="K132" s="51">
        <v>6</v>
      </c>
      <c r="L132" s="51">
        <v>9</v>
      </c>
      <c r="M132" s="55"/>
      <c r="N132" s="56"/>
      <c r="O132" s="56"/>
      <c r="P132" s="56"/>
      <c r="Q132" s="56"/>
      <c r="R132" s="57"/>
    </row>
    <row r="133" spans="1:18">
      <c r="A133" s="14"/>
      <c r="B133" s="14"/>
      <c r="C133" s="14"/>
      <c r="D133" s="14"/>
      <c r="E133" s="13"/>
      <c r="F133" s="14"/>
      <c r="G133" s="13"/>
      <c r="H133" s="14"/>
      <c r="I133" s="13"/>
      <c r="J133" s="14"/>
      <c r="K133" s="31"/>
      <c r="L133" s="31"/>
      <c r="M133" s="15"/>
      <c r="N133" s="20" t="str">
        <f t="shared" ref="N133" si="0">IF(L133&lt;&gt;"",L133*M133,"")</f>
        <v/>
      </c>
      <c r="O133" s="23"/>
      <c r="P133" s="13"/>
      <c r="Q133" s="13"/>
      <c r="R133" s="13"/>
    </row>
  </sheetData>
  <mergeCells count="206">
    <mergeCell ref="L30:M30"/>
    <mergeCell ref="P30:Q30"/>
    <mergeCell ref="D28:L28"/>
    <mergeCell ref="B74:I74"/>
    <mergeCell ref="B75:I75"/>
    <mergeCell ref="B76:I76"/>
    <mergeCell ref="B77:I77"/>
    <mergeCell ref="B78:I78"/>
    <mergeCell ref="B79:I79"/>
    <mergeCell ref="B80:I80"/>
    <mergeCell ref="B81:I81"/>
    <mergeCell ref="B61:I61"/>
    <mergeCell ref="B62:I62"/>
    <mergeCell ref="B63:I63"/>
    <mergeCell ref="B64:I64"/>
    <mergeCell ref="B65:I65"/>
    <mergeCell ref="B66:I66"/>
    <mergeCell ref="B48:I48"/>
    <mergeCell ref="B49:I49"/>
    <mergeCell ref="B50:I50"/>
    <mergeCell ref="B51:I51"/>
    <mergeCell ref="B52:I52"/>
    <mergeCell ref="B53:I53"/>
    <mergeCell ref="B54:I54"/>
    <mergeCell ref="B55:I55"/>
    <mergeCell ref="B56:I56"/>
    <mergeCell ref="M75:R75"/>
    <mergeCell ref="M76:R76"/>
    <mergeCell ref="M77:R77"/>
    <mergeCell ref="M78:R78"/>
    <mergeCell ref="M79:R79"/>
    <mergeCell ref="M80:R80"/>
    <mergeCell ref="M98:R98"/>
    <mergeCell ref="M99:R99"/>
    <mergeCell ref="M100:R100"/>
    <mergeCell ref="M82:R82"/>
    <mergeCell ref="M83:R83"/>
    <mergeCell ref="M84:R84"/>
    <mergeCell ref="M85:R85"/>
    <mergeCell ref="M86:R86"/>
    <mergeCell ref="M57:R57"/>
    <mergeCell ref="M58:R58"/>
    <mergeCell ref="M59:R59"/>
    <mergeCell ref="M60:R60"/>
    <mergeCell ref="M61:R61"/>
    <mergeCell ref="M51:R51"/>
    <mergeCell ref="B70:I70"/>
    <mergeCell ref="B71:I71"/>
    <mergeCell ref="B72:I72"/>
    <mergeCell ref="M87:R87"/>
    <mergeCell ref="M88:R88"/>
    <mergeCell ref="M89:R89"/>
    <mergeCell ref="M90:R90"/>
    <mergeCell ref="M91:R91"/>
    <mergeCell ref="M95:R95"/>
    <mergeCell ref="M96:R96"/>
    <mergeCell ref="M97:R97"/>
    <mergeCell ref="M94:R94"/>
    <mergeCell ref="M81:R81"/>
    <mergeCell ref="B5:B26"/>
    <mergeCell ref="A1:N2"/>
    <mergeCell ref="O1:R2"/>
    <mergeCell ref="M92:R92"/>
    <mergeCell ref="M93:R93"/>
    <mergeCell ref="M62:R62"/>
    <mergeCell ref="M63:R63"/>
    <mergeCell ref="M64:R64"/>
    <mergeCell ref="M65:R65"/>
    <mergeCell ref="M66:R66"/>
    <mergeCell ref="M67:R67"/>
    <mergeCell ref="M68:R68"/>
    <mergeCell ref="M69:R69"/>
    <mergeCell ref="M70:R70"/>
    <mergeCell ref="M71:R71"/>
    <mergeCell ref="M52:R52"/>
    <mergeCell ref="M53:R53"/>
    <mergeCell ref="M54:R54"/>
    <mergeCell ref="M55:R55"/>
    <mergeCell ref="M56:R56"/>
    <mergeCell ref="M72:R72"/>
    <mergeCell ref="M73:R73"/>
    <mergeCell ref="M74:R74"/>
    <mergeCell ref="B110:I110"/>
    <mergeCell ref="B111:I111"/>
    <mergeCell ref="B67:I67"/>
    <mergeCell ref="B68:I68"/>
    <mergeCell ref="B69:I69"/>
    <mergeCell ref="B91:I91"/>
    <mergeCell ref="B92:I92"/>
    <mergeCell ref="B93:I93"/>
    <mergeCell ref="B94:I94"/>
    <mergeCell ref="B95:I95"/>
    <mergeCell ref="B96:I96"/>
    <mergeCell ref="B97:I97"/>
    <mergeCell ref="B98:I98"/>
    <mergeCell ref="B99:I99"/>
    <mergeCell ref="B82:I82"/>
    <mergeCell ref="B83:I83"/>
    <mergeCell ref="B84:I84"/>
    <mergeCell ref="B85:I85"/>
    <mergeCell ref="B86:I86"/>
    <mergeCell ref="B87:I87"/>
    <mergeCell ref="B88:I88"/>
    <mergeCell ref="B89:I89"/>
    <mergeCell ref="B90:I90"/>
    <mergeCell ref="B73:I73"/>
    <mergeCell ref="B112:I112"/>
    <mergeCell ref="B113:I113"/>
    <mergeCell ref="B114:I114"/>
    <mergeCell ref="B115:I115"/>
    <mergeCell ref="B116:I116"/>
    <mergeCell ref="B117:I117"/>
    <mergeCell ref="B118:I118"/>
    <mergeCell ref="B119:I119"/>
    <mergeCell ref="B120:I120"/>
    <mergeCell ref="B121:I121"/>
    <mergeCell ref="B122:I122"/>
    <mergeCell ref="B123:I123"/>
    <mergeCell ref="B124:I124"/>
    <mergeCell ref="B125:I125"/>
    <mergeCell ref="B126:I126"/>
    <mergeCell ref="B127:I127"/>
    <mergeCell ref="B128:I128"/>
    <mergeCell ref="B129:I129"/>
    <mergeCell ref="B57:I57"/>
    <mergeCell ref="B58:I58"/>
    <mergeCell ref="B59:I59"/>
    <mergeCell ref="B60:I60"/>
    <mergeCell ref="B101:I101"/>
    <mergeCell ref="B102:I102"/>
    <mergeCell ref="B103:I103"/>
    <mergeCell ref="B104:I104"/>
    <mergeCell ref="B105:I105"/>
    <mergeCell ref="B100:I100"/>
    <mergeCell ref="B106:I106"/>
    <mergeCell ref="B107:I107"/>
    <mergeCell ref="B108:I108"/>
    <mergeCell ref="B109:I109"/>
    <mergeCell ref="B130:I130"/>
    <mergeCell ref="B131:I131"/>
    <mergeCell ref="M101:R101"/>
    <mergeCell ref="M102:R102"/>
    <mergeCell ref="M103:R103"/>
    <mergeCell ref="M104:R104"/>
    <mergeCell ref="M105:R105"/>
    <mergeCell ref="M106:R106"/>
    <mergeCell ref="M107:R107"/>
    <mergeCell ref="M108:R108"/>
    <mergeCell ref="M109:R109"/>
    <mergeCell ref="M110:R110"/>
    <mergeCell ref="M111:R111"/>
    <mergeCell ref="M112:R112"/>
    <mergeCell ref="M113:R113"/>
    <mergeCell ref="M114:R114"/>
    <mergeCell ref="M115:R115"/>
    <mergeCell ref="M116:R116"/>
    <mergeCell ref="M117:R117"/>
    <mergeCell ref="M118:R118"/>
    <mergeCell ref="M129:R129"/>
    <mergeCell ref="M130:R130"/>
    <mergeCell ref="M131:R131"/>
    <mergeCell ref="M48:R48"/>
    <mergeCell ref="M49:R49"/>
    <mergeCell ref="R9:V9"/>
    <mergeCell ref="Q11:T17"/>
    <mergeCell ref="M34:R34"/>
    <mergeCell ref="M35:R35"/>
    <mergeCell ref="M36:R36"/>
    <mergeCell ref="M37:R37"/>
    <mergeCell ref="M38:R38"/>
    <mergeCell ref="M39:R39"/>
    <mergeCell ref="M40:R40"/>
    <mergeCell ref="M50:R50"/>
    <mergeCell ref="M119:R119"/>
    <mergeCell ref="M120:R120"/>
    <mergeCell ref="M121:R121"/>
    <mergeCell ref="M122:R122"/>
    <mergeCell ref="M123:R123"/>
    <mergeCell ref="M124:R124"/>
    <mergeCell ref="M125:R125"/>
    <mergeCell ref="M126:R126"/>
    <mergeCell ref="M127:R127"/>
    <mergeCell ref="M132:R132"/>
    <mergeCell ref="B34:I34"/>
    <mergeCell ref="B35:I35"/>
    <mergeCell ref="B36:I36"/>
    <mergeCell ref="B37:I37"/>
    <mergeCell ref="B38:I38"/>
    <mergeCell ref="B39:I39"/>
    <mergeCell ref="B40:I40"/>
    <mergeCell ref="B41:I41"/>
    <mergeCell ref="B42:I42"/>
    <mergeCell ref="B43:I43"/>
    <mergeCell ref="B44:I44"/>
    <mergeCell ref="B45:I45"/>
    <mergeCell ref="B46:I46"/>
    <mergeCell ref="B47:I47"/>
    <mergeCell ref="B132:I132"/>
    <mergeCell ref="M41:R41"/>
    <mergeCell ref="M42:R42"/>
    <mergeCell ref="M43:R43"/>
    <mergeCell ref="M44:R44"/>
    <mergeCell ref="M45:R45"/>
    <mergeCell ref="M46:R46"/>
    <mergeCell ref="M47:R47"/>
    <mergeCell ref="M128:R128"/>
  </mergeCells>
  <phoneticPr fontId="3" type="noConversion"/>
  <conditionalFormatting sqref="K34:K132">
    <cfRule type="expression" dxfId="0" priority="4">
      <formula>(COUNTIF(K$34:$K$101,K34)-1)&gt;0</formula>
    </cfRule>
  </conditionalFormatting>
  <dataValidations count="2">
    <dataValidation type="decimal" allowBlank="1" showInputMessage="1" showErrorMessage="1" sqref="K34:L132" xr:uid="{00000000-0002-0000-0000-000000000000}">
      <formula1>1</formula1>
      <formula2>10</formula2>
    </dataValidation>
    <dataValidation type="list" allowBlank="1" showInputMessage="1" showErrorMessage="1" sqref="J34:J132" xr:uid="{00000000-0002-0000-0000-000001000000}">
      <formula1>$Q$5:$Q$9</formula1>
    </dataValidation>
  </dataValidations>
  <pageMargins left="0.70000000000000007" right="0.70000000000000007" top="0.75000000000000011" bottom="0.75000000000000011" header="0.30000000000000004" footer="0.30000000000000004"/>
  <pageSetup paperSize="8" scale="7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3:B13"/>
  <sheetViews>
    <sheetView workbookViewId="0">
      <selection activeCell="B4" sqref="B4"/>
    </sheetView>
  </sheetViews>
  <sheetFormatPr defaultColWidth="11.5546875" defaultRowHeight="15"/>
  <cols>
    <col min="1" max="2" width="21.77734375" bestFit="1" customWidth="1"/>
  </cols>
  <sheetData>
    <row r="3" spans="1:2">
      <c r="A3" t="s">
        <v>0</v>
      </c>
      <c r="B3" t="s">
        <v>1</v>
      </c>
    </row>
    <row r="4" spans="1:2">
      <c r="A4" s="16">
        <v>1</v>
      </c>
      <c r="B4">
        <v>1</v>
      </c>
    </row>
    <row r="5" spans="1:2">
      <c r="A5" s="16">
        <v>2</v>
      </c>
      <c r="B5">
        <v>2</v>
      </c>
    </row>
    <row r="6" spans="1:2">
      <c r="A6" s="16">
        <v>3</v>
      </c>
      <c r="B6">
        <v>3</v>
      </c>
    </row>
    <row r="7" spans="1:2">
      <c r="A7" s="16">
        <v>4</v>
      </c>
      <c r="B7">
        <v>4</v>
      </c>
    </row>
    <row r="8" spans="1:2">
      <c r="A8" s="17">
        <v>5.48</v>
      </c>
      <c r="B8">
        <v>5</v>
      </c>
    </row>
    <row r="9" spans="1:2">
      <c r="A9" s="16">
        <v>6</v>
      </c>
    </row>
    <row r="10" spans="1:2">
      <c r="A10" s="16">
        <v>7</v>
      </c>
    </row>
    <row r="11" spans="1:2">
      <c r="A11" s="16">
        <v>8</v>
      </c>
    </row>
    <row r="12" spans="1:2">
      <c r="A12" s="16">
        <v>9</v>
      </c>
    </row>
    <row r="13" spans="1:2">
      <c r="A13" s="16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Matrix</vt:lpstr>
      <vt:lpstr>Listas</vt:lpstr>
      <vt:lpstr>Matrix!Print_Area</vt:lpstr>
      <vt:lpstr>Matrix!Print_Titles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Microsoft Office</dc:creator>
  <cp:lastModifiedBy>J G</cp:lastModifiedBy>
  <cp:lastPrinted>2016-10-04T14:32:11Z</cp:lastPrinted>
  <dcterms:created xsi:type="dcterms:W3CDTF">2015-07-08T16:57:27Z</dcterms:created>
  <dcterms:modified xsi:type="dcterms:W3CDTF">2023-11-11T23:32:03Z</dcterms:modified>
</cp:coreProperties>
</file>